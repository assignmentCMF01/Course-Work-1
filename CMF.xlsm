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dad0484bfce53f/Documents/Tab's Folder/Bsc Finance/Year 2/Semester 2/Computational Methods for Finance/"/>
    </mc:Choice>
  </mc:AlternateContent>
  <xr:revisionPtr revIDLastSave="231" documentId="8_{441DFB49-5065-4EEA-99A3-6AA6DE81089C}" xr6:coauthVersionLast="47" xr6:coauthVersionMax="47" xr10:uidLastSave="{D4C0836E-132D-43D7-8891-0C201DD40F10}"/>
  <bookViews>
    <workbookView xWindow="-110" yWindow="-110" windowWidth="19420" windowHeight="10300" activeTab="1" xr2:uid="{D1965760-FFFF-467E-87E7-6C43B2C048CA}"/>
  </bookViews>
  <sheets>
    <sheet name="Question 1 - 5" sheetId="1" r:id="rId1"/>
    <sheet name="Question 6 &amp; Question 7" sheetId="2" r:id="rId2"/>
  </sheets>
  <functionGroups builtInGroupCount="19"/>
  <definedNames>
    <definedName name="solver_adj" localSheetId="0" hidden="1">'Question 1 - 5'!$L$25:$N$25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'Question 1 - 5'!$L$25</definedName>
    <definedName name="solver_lhs2" localSheetId="0" hidden="1">'Question 1 - 5'!$L$25</definedName>
    <definedName name="solver_lhs3" localSheetId="0" hidden="1">'Question 1 - 5'!$M$25</definedName>
    <definedName name="solver_lhs4" localSheetId="0" hidden="1">'Question 1 - 5'!$M$25</definedName>
    <definedName name="solver_lhs5" localSheetId="0" hidden="1">'Question 1 - 5'!$N$25</definedName>
    <definedName name="solver_lhs6" localSheetId="0" hidden="1">'Question 1 - 5'!$N$25</definedName>
    <definedName name="solver_lhs7" localSheetId="0" hidden="1">'Question 1 - 5'!$O$25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'Question 1 - 5'!$M$27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2</definedName>
    <definedName name="solver_rhs1" localSheetId="0" hidden="1">1</definedName>
    <definedName name="solver_rhs2" localSheetId="0" hidden="1">0</definedName>
    <definedName name="solver_rhs3" localSheetId="0" hidden="1">1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2" l="1"/>
  <c r="K27" i="2"/>
  <c r="K18" i="2"/>
  <c r="L18" i="2"/>
  <c r="K29" i="2"/>
  <c r="K25" i="2"/>
  <c r="K24" i="2"/>
  <c r="K23" i="2"/>
  <c r="K21" i="2"/>
  <c r="K20" i="2"/>
  <c r="L17" i="2" l="1"/>
  <c r="K17" i="2"/>
  <c r="K11" i="2" l="1" a="1"/>
  <c r="K11" i="2" s="1"/>
  <c r="L7" i="2"/>
  <c r="K7" i="2"/>
  <c r="M5" i="1"/>
  <c r="M27" i="1"/>
  <c r="M28" i="1" s="1"/>
  <c r="N14" i="1" l="1"/>
  <c r="M14" i="1"/>
  <c r="O14" i="1"/>
  <c r="N9" i="1"/>
  <c r="M9" i="1"/>
  <c r="M3" i="1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N31" i="1" a="1"/>
  <c r="M31" i="1" a="1"/>
  <c r="N33" i="1" a="1"/>
  <c r="M33" i="1" a="1"/>
  <c r="N32" i="1" a="1"/>
  <c r="M32" i="1" a="1"/>
  <c r="N31" i="1" l="1"/>
  <c r="N33" i="1"/>
  <c r="N32" i="1"/>
  <c r="M33" i="1"/>
  <c r="M32" i="1"/>
  <c r="M31" i="1"/>
  <c r="K4" i="2"/>
  <c r="K15" i="2" s="1"/>
  <c r="M3" i="2"/>
  <c r="K3" i="2"/>
  <c r="K14" i="2" s="1"/>
  <c r="L4" i="2"/>
  <c r="L8" i="2" s="1"/>
  <c r="L3" i="2"/>
  <c r="O25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N5" i="1" s="1"/>
  <c r="O16" i="1" s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N4" i="1" s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O9" i="1" s="1"/>
  <c r="M11" i="1" s="1"/>
  <c r="N15" i="1" l="1"/>
  <c r="M4" i="1"/>
  <c r="N10" i="1"/>
  <c r="N3" i="1"/>
  <c r="O11" i="1"/>
  <c r="O10" i="1"/>
  <c r="N11" i="1" s="1"/>
  <c r="M10" i="1"/>
  <c r="K8" i="2"/>
  <c r="M15" i="1" l="1"/>
  <c r="M16" i="1"/>
  <c r="O15" i="1"/>
  <c r="N16" i="1" s="1"/>
  <c r="M19" i="1" l="1" a="1"/>
  <c r="M19" i="1" s="1"/>
  <c r="K3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<sst xmlns="http://schemas.openxmlformats.org/spreadsheetml/2006/main" count="92" uniqueCount="41">
  <si>
    <t xml:space="preserve">AIRBNB </t>
  </si>
  <si>
    <t>Date</t>
  </si>
  <si>
    <t>Last Price</t>
  </si>
  <si>
    <t xml:space="preserve">AIRBNB LOG RETURNS </t>
  </si>
  <si>
    <t xml:space="preserve">RALPH LAUREN </t>
  </si>
  <si>
    <t>Close</t>
  </si>
  <si>
    <t xml:space="preserve">RALPH LAUREN LOG RETURNS </t>
  </si>
  <si>
    <t>HOME DEPOT</t>
  </si>
  <si>
    <t xml:space="preserve">HOME DEPOT LOG RETURNS </t>
  </si>
  <si>
    <t xml:space="preserve">Asset </t>
  </si>
  <si>
    <t xml:space="preserve">Standard Deviation </t>
  </si>
  <si>
    <t xml:space="preserve">Airbnb </t>
  </si>
  <si>
    <t xml:space="preserve">Ralph Lauren </t>
  </si>
  <si>
    <t xml:space="preserve">Expected Return </t>
  </si>
  <si>
    <t xml:space="preserve">Home Depot </t>
  </si>
  <si>
    <t>Risk  - Free Rate</t>
  </si>
  <si>
    <t xml:space="preserve">Correlation </t>
  </si>
  <si>
    <t xml:space="preserve">Covariance Matrix </t>
  </si>
  <si>
    <t xml:space="preserve">Inverse </t>
  </si>
  <si>
    <t xml:space="preserve">Portfolio Weights </t>
  </si>
  <si>
    <t>Sum</t>
  </si>
  <si>
    <t xml:space="preserve">Portfolio Variance </t>
  </si>
  <si>
    <t xml:space="preserve">Risk-Free Rate </t>
  </si>
  <si>
    <t xml:space="preserve">Excess Return - Airbnb </t>
  </si>
  <si>
    <t xml:space="preserve">ORP Weights </t>
  </si>
  <si>
    <t xml:space="preserve">ORP Expected Return </t>
  </si>
  <si>
    <t xml:space="preserve">ORP Expected Volatility </t>
  </si>
  <si>
    <t xml:space="preserve">Compute OCP </t>
  </si>
  <si>
    <t xml:space="preserve">OCP Return </t>
  </si>
  <si>
    <t xml:space="preserve">OCP Vol </t>
  </si>
  <si>
    <t xml:space="preserve">Risk - Free Weight </t>
  </si>
  <si>
    <t>Sum of Weight</t>
  </si>
  <si>
    <t xml:space="preserve">Question 6) </t>
  </si>
  <si>
    <t xml:space="preserve">Question 7) </t>
  </si>
  <si>
    <t xml:space="preserve">CAGR </t>
  </si>
  <si>
    <t xml:space="preserve">Annualised Volatility </t>
  </si>
  <si>
    <t xml:space="preserve">Portfolio Standard Deviation </t>
  </si>
  <si>
    <t>Home Depot</t>
  </si>
  <si>
    <t>Excess Return - Home Depot</t>
  </si>
  <si>
    <t xml:space="preserve">Stock A Weight </t>
  </si>
  <si>
    <t xml:space="preserve">Stock B Weight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</si>
</sst>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6557-0413-48D0-A8CA-B714A0E19980}">
  <sheetPr codeName="Sheet1"/>
  <dimension ref="B2:O129"/>
  <sheetViews>
    <sheetView topLeftCell="E1" zoomScale="74" workbookViewId="0">
      <selection activeCell="N25" sqref="N25"/>
    </sheetView>
  </sheetViews>
  <sheetFormatPr defaultRowHeight="14.5" x14ac:dyDescent="0.35"/>
  <cols>
    <col min="2" max="2" width="10.08984375" bestFit="1" customWidth="1"/>
    <col min="4" max="4" width="19.7265625" bestFit="1" customWidth="1"/>
    <col min="5" max="5" width="10.08984375" bestFit="1" customWidth="1"/>
    <col min="7" max="7" width="26.26953125" bestFit="1" customWidth="1"/>
    <col min="8" max="8" width="10.08984375" bestFit="1" customWidth="1"/>
    <col min="9" max="9" width="6.81640625" bestFit="1" customWidth="1"/>
    <col min="10" max="10" width="24.453125" bestFit="1" customWidth="1"/>
    <col min="11" max="11" width="16.54296875" bestFit="1" customWidth="1"/>
    <col min="12" max="12" width="24.90625" style="5" bestFit="1" customWidth="1"/>
    <col min="13" max="13" width="14.453125" style="5" bestFit="1" customWidth="1"/>
    <col min="14" max="14" width="17.6328125" style="5" bestFit="1" customWidth="1"/>
    <col min="15" max="15" width="11.81640625" style="5" bestFit="1" customWidth="1"/>
  </cols>
  <sheetData>
    <row r="2" spans="2:15" x14ac:dyDescent="0.35">
      <c r="B2" s="12" t="s">
        <v>0</v>
      </c>
      <c r="C2" s="13"/>
      <c r="D2" s="14"/>
      <c r="E2" s="12" t="s">
        <v>4</v>
      </c>
      <c r="F2" s="13"/>
      <c r="G2" s="14"/>
      <c r="H2" s="12" t="s">
        <v>7</v>
      </c>
      <c r="I2" s="13"/>
      <c r="J2" s="14"/>
      <c r="L2" s="1" t="s">
        <v>9</v>
      </c>
      <c r="M2" s="1" t="s">
        <v>13</v>
      </c>
      <c r="N2" s="1" t="s">
        <v>10</v>
      </c>
    </row>
    <row r="3" spans="2:15" x14ac:dyDescent="0.35">
      <c r="B3" s="1" t="s">
        <v>1</v>
      </c>
      <c r="C3" s="1" t="s">
        <v>2</v>
      </c>
      <c r="D3" s="2" t="s">
        <v>3</v>
      </c>
      <c r="E3" s="1" t="s">
        <v>1</v>
      </c>
      <c r="F3" s="1" t="s">
        <v>5</v>
      </c>
      <c r="G3" s="2" t="s">
        <v>6</v>
      </c>
      <c r="H3" s="1" t="s">
        <v>1</v>
      </c>
      <c r="I3" s="1" t="s">
        <v>5</v>
      </c>
      <c r="J3" s="2" t="s">
        <v>8</v>
      </c>
      <c r="L3" s="1" t="s">
        <v>11</v>
      </c>
      <c r="M3" s="7">
        <f>AVERAGE(D4:D129)*252</f>
        <v>0.56449327425469098</v>
      </c>
      <c r="N3" s="4">
        <f>_xlfn.STDEV.S(D4:D129)*SQRT(252)</f>
        <v>0.35840278363580325</v>
      </c>
    </row>
    <row r="4" spans="2:15" x14ac:dyDescent="0.35">
      <c r="B4" s="3">
        <v>45524</v>
      </c>
      <c r="C4" s="4">
        <v>117.38</v>
      </c>
      <c r="D4" s="4"/>
      <c r="E4" s="3">
        <v>45524</v>
      </c>
      <c r="F4" s="4">
        <v>166.74</v>
      </c>
      <c r="G4" s="4"/>
      <c r="H4" s="3">
        <v>45524</v>
      </c>
      <c r="I4" s="4">
        <v>367.27</v>
      </c>
      <c r="J4" s="4"/>
      <c r="L4" s="1" t="s">
        <v>12</v>
      </c>
      <c r="M4" s="7">
        <f>AVERAGE(G4:G129)*252</f>
        <v>1.0912664915154104</v>
      </c>
      <c r="N4" s="4">
        <f>_xlfn.STDEV.S(G4:G129)*SQRT(252)</f>
        <v>0.29113082457306594</v>
      </c>
    </row>
    <row r="5" spans="2:15" x14ac:dyDescent="0.35">
      <c r="B5" s="3">
        <v>45525</v>
      </c>
      <c r="C5" s="4">
        <v>117.68</v>
      </c>
      <c r="D5" s="4">
        <f>LN(C5)-LN(C4)</f>
        <v>2.552541162994082E-3</v>
      </c>
      <c r="E5" s="3">
        <v>45525</v>
      </c>
      <c r="F5" s="4">
        <v>170.14</v>
      </c>
      <c r="G5" s="4">
        <f>LN(F5)-LN(F4)</f>
        <v>2.0185914565270302E-2</v>
      </c>
      <c r="H5" s="3">
        <v>45525</v>
      </c>
      <c r="I5" s="4">
        <v>370.46</v>
      </c>
      <c r="J5" s="4">
        <f>LN(I5)-LN(I4)</f>
        <v>8.6482043078968118E-3</v>
      </c>
      <c r="L5" s="1" t="s">
        <v>14</v>
      </c>
      <c r="M5" s="7">
        <f>AVERAGE(J4:J129)*252</f>
        <v>0.14490339603022512</v>
      </c>
      <c r="N5" s="4">
        <f>_xlfn.STDEV.S(J4:J129)*SQRT(252)</f>
        <v>0.19880486114473403</v>
      </c>
    </row>
    <row r="6" spans="2:15" x14ac:dyDescent="0.35">
      <c r="B6" s="3">
        <v>45526</v>
      </c>
      <c r="C6" s="4">
        <v>115.45</v>
      </c>
      <c r="D6" s="4">
        <f t="shared" ref="D6:D69" si="0">LN(C6)-LN(C5)</f>
        <v>-1.9131540492677956E-2</v>
      </c>
      <c r="E6" s="3">
        <v>45526</v>
      </c>
      <c r="F6" s="4">
        <v>169.03</v>
      </c>
      <c r="G6" s="4">
        <f t="shared" ref="G6:G69" si="1">LN(F6)-LN(F5)</f>
        <v>-6.5454135856519713E-3</v>
      </c>
      <c r="H6" s="3">
        <v>45526</v>
      </c>
      <c r="I6" s="4">
        <v>365.36</v>
      </c>
      <c r="J6" s="4">
        <f t="shared" ref="J6:J69" si="2">LN(I6)-LN(I5)</f>
        <v>-1.386230781783393E-2</v>
      </c>
      <c r="L6" s="1" t="s">
        <v>15</v>
      </c>
      <c r="M6" s="15">
        <v>4.3099999999999999E-2</v>
      </c>
      <c r="N6" s="16"/>
    </row>
    <row r="7" spans="2:15" x14ac:dyDescent="0.35">
      <c r="B7" s="3">
        <v>45527</v>
      </c>
      <c r="C7" s="4">
        <v>116.85</v>
      </c>
      <c r="D7" s="4">
        <f t="shared" si="0"/>
        <v>1.2053525184362535E-2</v>
      </c>
      <c r="E7" s="3">
        <v>45527</v>
      </c>
      <c r="F7" s="4">
        <v>174.58</v>
      </c>
      <c r="G7" s="4">
        <f t="shared" si="1"/>
        <v>3.2306875345117447E-2</v>
      </c>
      <c r="H7" s="3">
        <v>45527</v>
      </c>
      <c r="I7" s="4">
        <v>375.59</v>
      </c>
      <c r="J7" s="4">
        <f t="shared" si="2"/>
        <v>2.7614954034779871E-2</v>
      </c>
    </row>
    <row r="8" spans="2:15" x14ac:dyDescent="0.35">
      <c r="B8" s="3">
        <v>45530</v>
      </c>
      <c r="C8" s="4">
        <v>115.71</v>
      </c>
      <c r="D8" s="4">
        <f t="shared" si="0"/>
        <v>-9.8040000966204133E-3</v>
      </c>
      <c r="E8" s="3">
        <v>45530</v>
      </c>
      <c r="F8" s="4">
        <v>171.14</v>
      </c>
      <c r="G8" s="4">
        <f t="shared" si="1"/>
        <v>-1.9901154317294889E-2</v>
      </c>
      <c r="H8" s="3">
        <v>45530</v>
      </c>
      <c r="I8" s="4">
        <v>374.11</v>
      </c>
      <c r="J8" s="4">
        <f t="shared" si="2"/>
        <v>-3.9482510940480608E-3</v>
      </c>
      <c r="L8" s="1" t="s">
        <v>16</v>
      </c>
      <c r="M8" s="1" t="s">
        <v>11</v>
      </c>
      <c r="N8" s="1" t="s">
        <v>12</v>
      </c>
      <c r="O8" s="1" t="s">
        <v>14</v>
      </c>
    </row>
    <row r="9" spans="2:15" x14ac:dyDescent="0.35">
      <c r="B9" s="3">
        <v>45531</v>
      </c>
      <c r="C9" s="4">
        <v>116.74</v>
      </c>
      <c r="D9" s="4">
        <f t="shared" si="0"/>
        <v>8.8621788873988194E-3</v>
      </c>
      <c r="E9" s="3">
        <v>45531</v>
      </c>
      <c r="F9" s="4">
        <v>172.45</v>
      </c>
      <c r="G9" s="4">
        <f t="shared" si="1"/>
        <v>7.6254043929413484E-3</v>
      </c>
      <c r="H9" s="3">
        <v>45531</v>
      </c>
      <c r="I9" s="4">
        <v>373.18</v>
      </c>
      <c r="J9" s="4">
        <f t="shared" si="2"/>
        <v>-2.4889948483721724E-3</v>
      </c>
      <c r="L9" s="1" t="s">
        <v>11</v>
      </c>
      <c r="M9" s="4">
        <f>CORREL(D4:D129,D4:D129)</f>
        <v>1</v>
      </c>
      <c r="N9" s="4">
        <f>CORREL(D4:D129,G4:G129)</f>
        <v>0.26132947224281805</v>
      </c>
      <c r="O9" s="4">
        <f>CORREL(D4:D129,J4:J129)</f>
        <v>0.10089744730992896</v>
      </c>
    </row>
    <row r="10" spans="2:15" x14ac:dyDescent="0.35">
      <c r="B10" s="3">
        <v>45532</v>
      </c>
      <c r="C10" s="4">
        <v>117.53</v>
      </c>
      <c r="D10" s="4">
        <f t="shared" si="0"/>
        <v>6.7443803691178417E-3</v>
      </c>
      <c r="E10" s="3">
        <v>45532</v>
      </c>
      <c r="F10" s="4">
        <v>169.47</v>
      </c>
      <c r="G10" s="4">
        <f t="shared" si="1"/>
        <v>-1.7431419377569313E-2</v>
      </c>
      <c r="H10" s="3">
        <v>45532</v>
      </c>
      <c r="I10" s="4">
        <v>372.69</v>
      </c>
      <c r="J10" s="4">
        <f t="shared" si="2"/>
        <v>-1.3139020754078246E-3</v>
      </c>
      <c r="L10" s="1" t="s">
        <v>12</v>
      </c>
      <c r="M10" s="4">
        <f>N9</f>
        <v>0.26132947224281805</v>
      </c>
      <c r="N10" s="4">
        <f>CORREL(G4:G129,G4:G129)</f>
        <v>0.99999999999999989</v>
      </c>
      <c r="O10" s="4">
        <f>CORREL(G4:G129,J4:J129)</f>
        <v>0.26258292913590336</v>
      </c>
    </row>
    <row r="11" spans="2:15" x14ac:dyDescent="0.35">
      <c r="B11" s="3">
        <v>45533</v>
      </c>
      <c r="C11" s="4">
        <v>116.6</v>
      </c>
      <c r="D11" s="4">
        <f t="shared" si="0"/>
        <v>-7.9443462283714794E-3</v>
      </c>
      <c r="E11" s="3">
        <v>45533</v>
      </c>
      <c r="F11" s="4">
        <v>170.67</v>
      </c>
      <c r="G11" s="4">
        <f t="shared" si="1"/>
        <v>7.0559474253846233E-3</v>
      </c>
      <c r="H11" s="3">
        <v>45533</v>
      </c>
      <c r="I11" s="4">
        <v>367.06</v>
      </c>
      <c r="J11" s="4">
        <f t="shared" si="2"/>
        <v>-1.522165246336904E-2</v>
      </c>
      <c r="L11" s="1" t="s">
        <v>14</v>
      </c>
      <c r="M11" s="4">
        <f>O9</f>
        <v>0.10089744730992896</v>
      </c>
      <c r="N11" s="4">
        <f>O10</f>
        <v>0.26258292913590336</v>
      </c>
      <c r="O11" s="4">
        <f>CORREL(J4:J129,J4:J129)</f>
        <v>1</v>
      </c>
    </row>
    <row r="12" spans="2:15" x14ac:dyDescent="0.35">
      <c r="B12" s="3">
        <v>45534</v>
      </c>
      <c r="C12" s="4">
        <v>117.31</v>
      </c>
      <c r="D12" s="4">
        <f t="shared" si="0"/>
        <v>6.0707296012374456E-3</v>
      </c>
      <c r="E12" s="3">
        <v>45534</v>
      </c>
      <c r="F12" s="4">
        <v>171.26</v>
      </c>
      <c r="G12" s="4">
        <f t="shared" si="1"/>
        <v>3.4510021673801461E-3</v>
      </c>
      <c r="H12" s="3">
        <v>45534</v>
      </c>
      <c r="I12" s="4">
        <v>368.5</v>
      </c>
      <c r="J12" s="4">
        <f t="shared" si="2"/>
        <v>3.9153891990650891E-3</v>
      </c>
    </row>
    <row r="13" spans="2:15" x14ac:dyDescent="0.35">
      <c r="B13" s="3">
        <v>45538</v>
      </c>
      <c r="C13" s="4">
        <v>114.98</v>
      </c>
      <c r="D13" s="4">
        <f t="shared" si="0"/>
        <v>-2.0061803322484195E-2</v>
      </c>
      <c r="E13" s="3">
        <v>45538</v>
      </c>
      <c r="F13" s="4">
        <v>173.88</v>
      </c>
      <c r="G13" s="4">
        <f t="shared" si="1"/>
        <v>1.5182536522545753E-2</v>
      </c>
      <c r="H13" s="3">
        <v>45538</v>
      </c>
      <c r="I13" s="4">
        <v>364.74</v>
      </c>
      <c r="J13" s="4">
        <f t="shared" si="2"/>
        <v>-1.0255940640704786E-2</v>
      </c>
      <c r="L13" s="1" t="s">
        <v>17</v>
      </c>
      <c r="M13" s="1" t="s">
        <v>11</v>
      </c>
      <c r="N13" s="1" t="s">
        <v>12</v>
      </c>
      <c r="O13" s="1" t="s">
        <v>14</v>
      </c>
    </row>
    <row r="14" spans="2:15" x14ac:dyDescent="0.35">
      <c r="B14" s="3">
        <v>45539</v>
      </c>
      <c r="C14" s="4">
        <v>115.21</v>
      </c>
      <c r="D14" s="4">
        <f t="shared" si="0"/>
        <v>1.9983498548175049E-3</v>
      </c>
      <c r="E14" s="3">
        <v>45539</v>
      </c>
      <c r="F14" s="4">
        <v>172.35</v>
      </c>
      <c r="G14" s="4">
        <f t="shared" si="1"/>
        <v>-8.8381131577168759E-3</v>
      </c>
      <c r="H14" s="3">
        <v>45539</v>
      </c>
      <c r="I14" s="4">
        <v>364.67</v>
      </c>
      <c r="J14" s="4">
        <f t="shared" si="2"/>
        <v>-1.919359488216088E-4</v>
      </c>
      <c r="L14" s="1" t="s">
        <v>11</v>
      </c>
      <c r="M14" s="4">
        <f>N3^2</f>
        <v>0.1284525553178924</v>
      </c>
      <c r="N14" s="4">
        <f>N3*N4*N9</f>
        <v>2.7267665384539359E-2</v>
      </c>
      <c r="O14" s="4">
        <f>N3*N5*O9</f>
        <v>7.189166672707953E-3</v>
      </c>
    </row>
    <row r="15" spans="2:15" x14ac:dyDescent="0.35">
      <c r="B15" s="3">
        <v>45540</v>
      </c>
      <c r="C15" s="4">
        <v>116.16</v>
      </c>
      <c r="D15" s="4">
        <f t="shared" si="0"/>
        <v>8.2120010265231969E-3</v>
      </c>
      <c r="E15" s="3">
        <v>45540</v>
      </c>
      <c r="F15" s="4">
        <v>173.4</v>
      </c>
      <c r="G15" s="4">
        <f t="shared" si="1"/>
        <v>6.0737713835674612E-3</v>
      </c>
      <c r="H15" s="3">
        <v>45540</v>
      </c>
      <c r="I15" s="4">
        <v>361.85</v>
      </c>
      <c r="J15" s="4">
        <f t="shared" si="2"/>
        <v>-7.7630737277276651E-3</v>
      </c>
      <c r="L15" s="1" t="s">
        <v>12</v>
      </c>
      <c r="M15" s="4">
        <f>N14</f>
        <v>2.7267665384539359E-2</v>
      </c>
      <c r="N15" s="4">
        <f>N4^2</f>
        <v>8.4757157016593296E-2</v>
      </c>
      <c r="O15" s="4">
        <f>N4*N5*O10</f>
        <v>1.5197833369011378E-2</v>
      </c>
    </row>
    <row r="16" spans="2:15" x14ac:dyDescent="0.35">
      <c r="B16" s="3">
        <v>45541</v>
      </c>
      <c r="C16" s="4">
        <v>114.28</v>
      </c>
      <c r="D16" s="4">
        <f t="shared" si="0"/>
        <v>-1.6316973713913718E-2</v>
      </c>
      <c r="E16" s="3">
        <v>45541</v>
      </c>
      <c r="F16" s="4">
        <v>172.85</v>
      </c>
      <c r="G16" s="4">
        <f t="shared" si="1"/>
        <v>-3.1768979788084906E-3</v>
      </c>
      <c r="H16" s="3">
        <v>45541</v>
      </c>
      <c r="I16" s="4">
        <v>360.05</v>
      </c>
      <c r="J16" s="4">
        <f t="shared" si="2"/>
        <v>-4.9868506172607852E-3</v>
      </c>
      <c r="L16" s="1" t="s">
        <v>14</v>
      </c>
      <c r="M16" s="4">
        <f>O14</f>
        <v>7.189166672707953E-3</v>
      </c>
      <c r="N16" s="4">
        <f>O15</f>
        <v>1.5197833369011378E-2</v>
      </c>
      <c r="O16" s="4">
        <f>N5^2</f>
        <v>3.9523372814776976E-2</v>
      </c>
    </row>
    <row r="17" spans="2:15" x14ac:dyDescent="0.35">
      <c r="B17" s="3">
        <v>45544</v>
      </c>
      <c r="C17" s="4">
        <v>116.36</v>
      </c>
      <c r="D17" s="4">
        <f t="shared" si="0"/>
        <v>1.8037256264428869E-2</v>
      </c>
      <c r="E17" s="3">
        <v>45544</v>
      </c>
      <c r="F17" s="4">
        <v>173.69</v>
      </c>
      <c r="G17" s="4">
        <f t="shared" si="1"/>
        <v>4.8479346982874816E-3</v>
      </c>
      <c r="H17" s="3">
        <v>45544</v>
      </c>
      <c r="I17" s="4">
        <v>365.52</v>
      </c>
      <c r="J17" s="4">
        <f t="shared" si="2"/>
        <v>1.5078086560139425E-2</v>
      </c>
    </row>
    <row r="18" spans="2:15" x14ac:dyDescent="0.35">
      <c r="B18" s="3">
        <v>45545</v>
      </c>
      <c r="C18" s="4">
        <v>115.12</v>
      </c>
      <c r="D18" s="4">
        <f t="shared" si="0"/>
        <v>-1.0713771047888621E-2</v>
      </c>
      <c r="E18" s="3">
        <v>45545</v>
      </c>
      <c r="F18" s="4">
        <v>172.7</v>
      </c>
      <c r="G18" s="4">
        <f t="shared" si="1"/>
        <v>-5.7161159132883554E-3</v>
      </c>
      <c r="H18" s="3">
        <v>45545</v>
      </c>
      <c r="I18" s="4">
        <v>370.87</v>
      </c>
      <c r="J18" s="4">
        <f t="shared" si="2"/>
        <v>1.45305996338152E-2</v>
      </c>
      <c r="L18" s="1" t="s">
        <v>18</v>
      </c>
      <c r="M18" s="1" t="s">
        <v>11</v>
      </c>
      <c r="N18" s="1" t="s">
        <v>12</v>
      </c>
      <c r="O18" s="1" t="s">
        <v>14</v>
      </c>
    </row>
    <row r="19" spans="2:15" x14ac:dyDescent="0.35">
      <c r="B19" s="3">
        <v>45546</v>
      </c>
      <c r="C19" s="4">
        <v>115.96</v>
      </c>
      <c r="D19" s="4">
        <f t="shared" si="0"/>
        <v>7.2702414743428534E-3</v>
      </c>
      <c r="E19" s="3">
        <v>45546</v>
      </c>
      <c r="F19" s="4">
        <v>174.9</v>
      </c>
      <c r="G19" s="4">
        <f t="shared" si="1"/>
        <v>1.2658396871923827E-2</v>
      </c>
      <c r="H19" s="3">
        <v>45546</v>
      </c>
      <c r="I19" s="4">
        <v>370.49</v>
      </c>
      <c r="J19" s="4">
        <f t="shared" si="2"/>
        <v>-1.0251430702474806E-3</v>
      </c>
      <c r="L19" s="1" t="s">
        <v>11</v>
      </c>
      <c r="M19" s="4" cm="1">
        <f t="array" ref="M19:O21">MINVERSE(M14:O16)</f>
        <v>8.3656524942874135</v>
      </c>
      <c r="N19" s="4">
        <v>-2.597608516627766</v>
      </c>
      <c r="O19" s="4">
        <v>-0.52283110580147041</v>
      </c>
    </row>
    <row r="20" spans="2:15" x14ac:dyDescent="0.35">
      <c r="B20" s="3">
        <v>45547</v>
      </c>
      <c r="C20" s="4">
        <v>117.36</v>
      </c>
      <c r="D20" s="4">
        <f t="shared" si="0"/>
        <v>1.2000829781270816E-2</v>
      </c>
      <c r="E20" s="3">
        <v>45547</v>
      </c>
      <c r="F20" s="4">
        <v>175.36</v>
      </c>
      <c r="G20" s="4">
        <f t="shared" si="1"/>
        <v>2.6266217350947585E-3</v>
      </c>
      <c r="H20" s="3">
        <v>45547</v>
      </c>
      <c r="I20" s="4">
        <v>374.43</v>
      </c>
      <c r="J20" s="4">
        <f t="shared" si="2"/>
        <v>1.0578415779888495E-2</v>
      </c>
      <c r="L20" s="1" t="s">
        <v>12</v>
      </c>
      <c r="M20" s="4">
        <v>-2.5976085166277656</v>
      </c>
      <c r="N20" s="4">
        <v>13.478736482281079</v>
      </c>
      <c r="O20" s="4">
        <v>-4.710451999593352</v>
      </c>
    </row>
    <row r="21" spans="2:15" x14ac:dyDescent="0.35">
      <c r="B21" s="3">
        <v>45548</v>
      </c>
      <c r="C21" s="4">
        <v>117.75</v>
      </c>
      <c r="D21" s="4">
        <f t="shared" si="0"/>
        <v>3.3175990618010687E-3</v>
      </c>
      <c r="E21" s="3">
        <v>45548</v>
      </c>
      <c r="F21" s="4">
        <v>178.64</v>
      </c>
      <c r="G21" s="4">
        <f t="shared" si="1"/>
        <v>1.853160377225116E-2</v>
      </c>
      <c r="H21" s="3">
        <v>45548</v>
      </c>
      <c r="I21" s="4">
        <v>379.99</v>
      </c>
      <c r="J21" s="4">
        <f t="shared" si="2"/>
        <v>1.474006698621988E-2</v>
      </c>
      <c r="L21" s="1" t="s">
        <v>14</v>
      </c>
      <c r="M21" s="4">
        <v>-0.52283110580147052</v>
      </c>
      <c r="N21" s="4">
        <v>-4.710451999593352</v>
      </c>
      <c r="O21" s="4">
        <v>27.207885055340693</v>
      </c>
    </row>
    <row r="22" spans="2:15" x14ac:dyDescent="0.35">
      <c r="B22" s="3">
        <v>45551</v>
      </c>
      <c r="C22" s="4">
        <v>117.55</v>
      </c>
      <c r="D22" s="4">
        <f t="shared" si="0"/>
        <v>-1.699957910448191E-3</v>
      </c>
      <c r="E22" s="3">
        <v>45551</v>
      </c>
      <c r="F22" s="4">
        <v>181.44</v>
      </c>
      <c r="G22" s="4">
        <f t="shared" si="1"/>
        <v>1.5552413007484667E-2</v>
      </c>
      <c r="H22" s="3">
        <v>45551</v>
      </c>
      <c r="I22" s="4">
        <v>382.01</v>
      </c>
      <c r="J22" s="4">
        <f t="shared" si="2"/>
        <v>5.3018496897161427E-3</v>
      </c>
    </row>
    <row r="23" spans="2:15" x14ac:dyDescent="0.35">
      <c r="B23" s="3">
        <v>45552</v>
      </c>
      <c r="C23" s="4">
        <v>122.12</v>
      </c>
      <c r="D23" s="4">
        <f t="shared" si="0"/>
        <v>3.8140392880598561E-2</v>
      </c>
      <c r="E23" s="3">
        <v>45552</v>
      </c>
      <c r="F23" s="4">
        <v>184.21</v>
      </c>
      <c r="G23" s="4">
        <f t="shared" si="1"/>
        <v>1.5151390624739136E-2</v>
      </c>
      <c r="H23" s="3">
        <v>45552</v>
      </c>
      <c r="I23" s="4">
        <v>383.24</v>
      </c>
      <c r="J23" s="4">
        <f t="shared" si="2"/>
        <v>3.2146385082647555E-3</v>
      </c>
      <c r="L23" s="17" t="s">
        <v>19</v>
      </c>
      <c r="M23" s="17"/>
      <c r="N23" s="17"/>
      <c r="O23" s="17"/>
    </row>
    <row r="24" spans="2:15" x14ac:dyDescent="0.35">
      <c r="B24" s="3">
        <v>45553</v>
      </c>
      <c r="C24" s="4">
        <v>122.42</v>
      </c>
      <c r="D24" s="4">
        <f t="shared" si="0"/>
        <v>2.4535875562463616E-3</v>
      </c>
      <c r="E24" s="3">
        <v>45553</v>
      </c>
      <c r="F24" s="4">
        <v>183.61</v>
      </c>
      <c r="G24" s="4">
        <f t="shared" si="1"/>
        <v>-3.2624682300301799E-3</v>
      </c>
      <c r="H24" s="3">
        <v>45553</v>
      </c>
      <c r="I24" s="4">
        <v>384.01</v>
      </c>
      <c r="J24" s="4">
        <f t="shared" si="2"/>
        <v>2.007169132642872E-3</v>
      </c>
      <c r="L24" s="1" t="s">
        <v>11</v>
      </c>
      <c r="M24" s="1" t="s">
        <v>12</v>
      </c>
      <c r="N24" s="1" t="s">
        <v>14</v>
      </c>
      <c r="O24" s="1" t="s">
        <v>20</v>
      </c>
    </row>
    <row r="25" spans="2:15" x14ac:dyDescent="0.35">
      <c r="B25" s="3">
        <v>45554</v>
      </c>
      <c r="C25" s="4">
        <v>128.75</v>
      </c>
      <c r="D25" s="4">
        <f t="shared" si="0"/>
        <v>5.0414784120921929E-2</v>
      </c>
      <c r="E25" s="3">
        <v>45554</v>
      </c>
      <c r="F25" s="4">
        <v>184.76</v>
      </c>
      <c r="G25" s="4">
        <f t="shared" si="1"/>
        <v>6.2437426283086239E-3</v>
      </c>
      <c r="H25" s="3">
        <v>45554</v>
      </c>
      <c r="I25" s="4">
        <v>390.34</v>
      </c>
      <c r="J25" s="4">
        <f t="shared" si="2"/>
        <v>1.6349560287740594E-2</v>
      </c>
      <c r="L25" s="6">
        <v>0.17305947767345081</v>
      </c>
      <c r="M25" s="6">
        <v>0.26249502936334901</v>
      </c>
      <c r="N25" s="6">
        <v>0.56444549296320012</v>
      </c>
      <c r="O25" s="6">
        <f>SUM(L25:N25)</f>
        <v>1</v>
      </c>
    </row>
    <row r="26" spans="2:15" x14ac:dyDescent="0.35">
      <c r="B26" s="3">
        <v>45555</v>
      </c>
      <c r="C26" s="4">
        <v>131.18</v>
      </c>
      <c r="D26" s="4">
        <f t="shared" si="0"/>
        <v>1.8697886321743518E-2</v>
      </c>
      <c r="E26" s="3">
        <v>45555</v>
      </c>
      <c r="F26" s="4">
        <v>185.31</v>
      </c>
      <c r="G26" s="4">
        <f t="shared" si="1"/>
        <v>2.9724128135129035E-3</v>
      </c>
      <c r="H26" s="3">
        <v>45555</v>
      </c>
      <c r="I26" s="4">
        <v>389.86</v>
      </c>
      <c r="J26" s="4">
        <f t="shared" si="2"/>
        <v>-1.2304538850571589E-3</v>
      </c>
    </row>
    <row r="27" spans="2:15" x14ac:dyDescent="0.35">
      <c r="B27" s="3">
        <v>45558</v>
      </c>
      <c r="C27" s="4">
        <v>129.03</v>
      </c>
      <c r="D27" s="4">
        <f t="shared" si="0"/>
        <v>-1.6525490401834375E-2</v>
      </c>
      <c r="E27" s="3">
        <v>45558</v>
      </c>
      <c r="F27" s="4">
        <v>185.9</v>
      </c>
      <c r="G27" s="4">
        <f t="shared" si="1"/>
        <v>3.1787963514808837E-3</v>
      </c>
      <c r="H27" s="3">
        <v>45558</v>
      </c>
      <c r="I27" s="4">
        <v>391.96</v>
      </c>
      <c r="J27" s="4">
        <f t="shared" si="2"/>
        <v>5.3720934496190864E-3</v>
      </c>
      <c r="L27" s="1" t="s">
        <v>21</v>
      </c>
      <c r="M27" s="11">
        <f>L25^2*M14+M25^2*N15+N25^2*O16+2*L25*M25*M14*N15*M15+2*L25*N25*M14*O16*O14+2*M25*N25*N15*O16*O15</f>
        <v>2.2328461840452816E-2</v>
      </c>
    </row>
    <row r="28" spans="2:15" x14ac:dyDescent="0.35">
      <c r="B28" s="3">
        <v>45559</v>
      </c>
      <c r="C28" s="4">
        <v>131.47999999999999</v>
      </c>
      <c r="D28" s="4">
        <f t="shared" si="0"/>
        <v>1.8809813332263836E-2</v>
      </c>
      <c r="E28" s="3">
        <v>45559</v>
      </c>
      <c r="F28" s="4">
        <v>190.61</v>
      </c>
      <c r="G28" s="4">
        <f t="shared" si="1"/>
        <v>2.5020561013583631E-2</v>
      </c>
      <c r="H28" s="3">
        <v>45559</v>
      </c>
      <c r="I28" s="4">
        <v>400.66</v>
      </c>
      <c r="J28" s="4">
        <f t="shared" si="2"/>
        <v>2.1953393585888215E-2</v>
      </c>
      <c r="L28" s="1" t="s">
        <v>36</v>
      </c>
      <c r="M28" s="11">
        <f>SQRT(M27)</f>
        <v>0.14942711213314944</v>
      </c>
    </row>
    <row r="29" spans="2:15" x14ac:dyDescent="0.35">
      <c r="B29" s="3">
        <v>45560</v>
      </c>
      <c r="C29" s="4">
        <v>130.71</v>
      </c>
      <c r="D29" s="4">
        <f t="shared" si="0"/>
        <v>-5.8736199985576221E-3</v>
      </c>
      <c r="E29" s="3">
        <v>45560</v>
      </c>
      <c r="F29" s="4">
        <v>189.31</v>
      </c>
      <c r="G29" s="4">
        <f t="shared" si="1"/>
        <v>-6.843572719163582E-3</v>
      </c>
      <c r="H29" s="3">
        <v>45560</v>
      </c>
      <c r="I29" s="4">
        <v>396.93</v>
      </c>
      <c r="J29" s="4">
        <f t="shared" si="2"/>
        <v>-9.3532446310771178E-3</v>
      </c>
    </row>
    <row r="30" spans="2:15" x14ac:dyDescent="0.35">
      <c r="B30" s="3">
        <v>45561</v>
      </c>
      <c r="C30" s="4">
        <v>129.25</v>
      </c>
      <c r="D30" s="4">
        <f t="shared" si="0"/>
        <v>-1.1232615408922619E-2</v>
      </c>
      <c r="E30" s="3">
        <v>45561</v>
      </c>
      <c r="F30" s="4">
        <v>197.61</v>
      </c>
      <c r="G30" s="4">
        <f t="shared" si="1"/>
        <v>4.2909508298892618E-2</v>
      </c>
      <c r="H30" s="3">
        <v>45561</v>
      </c>
      <c r="I30" s="4">
        <v>396.7</v>
      </c>
      <c r="J30" s="4">
        <f t="shared" si="2"/>
        <v>-5.7961520214444562E-4</v>
      </c>
      <c r="L30" s="1" t="s">
        <v>9</v>
      </c>
      <c r="M30" s="1" t="s">
        <v>34</v>
      </c>
      <c r="N30" s="1" t="s">
        <v>35</v>
      </c>
    </row>
    <row r="31" spans="2:15" x14ac:dyDescent="0.35">
      <c r="B31" s="3">
        <v>45562</v>
      </c>
      <c r="C31" s="4">
        <v>128.25</v>
      </c>
      <c r="D31" s="4">
        <f t="shared" si="0"/>
        <v>-7.7670293376597144E-3</v>
      </c>
      <c r="E31" s="3">
        <v>45562</v>
      </c>
      <c r="F31" s="4">
        <v>196.53</v>
      </c>
      <c r="G31" s="4">
        <f t="shared" si="1"/>
        <v>-5.4802999088163773E-3</v>
      </c>
      <c r="H31" s="3">
        <v>45562</v>
      </c>
      <c r="I31" s="4">
        <v>399.53</v>
      </c>
      <c r="J31" s="4">
        <f t="shared" si="2"/>
        <v>7.1085287339753833E-3</v>
      </c>
      <c r="L31" s="1" t="s">
        <v>11</v>
      </c>
      <c r="M31" s="4" cm="1">
        <f t="array" ref="M31">CAGR(C4,C129,126)</f>
        <v>0.75069555488505357</v>
      </c>
      <c r="N31" s="4" cm="1">
        <f t="array" ref="N31">AnnualizedVolatility(D4:D129)</f>
        <v>0.35698035036585452</v>
      </c>
    </row>
    <row r="32" spans="2:15" x14ac:dyDescent="0.35">
      <c r="B32" s="3">
        <v>45565</v>
      </c>
      <c r="C32" s="4">
        <v>126.81</v>
      </c>
      <c r="D32" s="4">
        <f t="shared" si="0"/>
        <v>-1.1291580804070556E-2</v>
      </c>
      <c r="E32" s="3">
        <v>45565</v>
      </c>
      <c r="F32" s="4">
        <v>193.87</v>
      </c>
      <c r="G32" s="4">
        <f t="shared" si="1"/>
        <v>-1.3627260060778745E-2</v>
      </c>
      <c r="H32" s="3">
        <v>45565</v>
      </c>
      <c r="I32" s="4">
        <v>405.2</v>
      </c>
      <c r="J32" s="4">
        <f t="shared" si="2"/>
        <v>1.4091916120268166E-2</v>
      </c>
      <c r="L32" s="1" t="s">
        <v>12</v>
      </c>
      <c r="M32" s="4" cm="1">
        <f t="array" ref="M32">CAGR(F4,F129,126)</f>
        <v>1.9523623495550408</v>
      </c>
      <c r="N32" s="4" cm="1">
        <f t="array" ref="N32">AnnualizedVolatility(G4:G129)</f>
        <v>0.29002862769043414</v>
      </c>
    </row>
    <row r="33" spans="2:14" x14ac:dyDescent="0.35">
      <c r="B33" s="3">
        <v>45566</v>
      </c>
      <c r="C33" s="4">
        <v>125.47</v>
      </c>
      <c r="D33" s="4">
        <f t="shared" si="0"/>
        <v>-1.062321707519942E-2</v>
      </c>
      <c r="E33" s="3">
        <v>45566</v>
      </c>
      <c r="F33" s="4">
        <v>192.23</v>
      </c>
      <c r="G33" s="4">
        <f t="shared" si="1"/>
        <v>-8.4952595863470037E-3</v>
      </c>
      <c r="H33" s="3">
        <v>45566</v>
      </c>
      <c r="I33" s="4">
        <v>409.05</v>
      </c>
      <c r="J33" s="4">
        <f t="shared" si="2"/>
        <v>9.4566255851793457E-3</v>
      </c>
      <c r="L33" s="1" t="s">
        <v>14</v>
      </c>
      <c r="M33" s="4" cm="1">
        <f t="array" ref="M33">CAGR(I4,I129,126)</f>
        <v>0.15459931351304168</v>
      </c>
      <c r="N33" s="4" cm="1">
        <f t="array" ref="N33">AnnualizedVolatility(J4:J129)</f>
        <v>0.19800971469413978</v>
      </c>
    </row>
    <row r="34" spans="2:14" x14ac:dyDescent="0.35">
      <c r="B34" s="3">
        <v>45567</v>
      </c>
      <c r="C34" s="4">
        <v>126.18</v>
      </c>
      <c r="D34" s="4">
        <f t="shared" si="0"/>
        <v>5.6427727710550712E-3</v>
      </c>
      <c r="E34" s="3">
        <v>45567</v>
      </c>
      <c r="F34" s="4">
        <v>193.12</v>
      </c>
      <c r="G34" s="4">
        <f t="shared" si="1"/>
        <v>4.6191855844526231E-3</v>
      </c>
      <c r="H34" s="3">
        <v>45567</v>
      </c>
      <c r="I34" s="4">
        <v>411.26</v>
      </c>
      <c r="J34" s="4">
        <f t="shared" si="2"/>
        <v>5.3882199336650061E-3</v>
      </c>
    </row>
    <row r="35" spans="2:14" x14ac:dyDescent="0.35">
      <c r="B35" s="3">
        <v>45568</v>
      </c>
      <c r="C35" s="4">
        <v>125.29</v>
      </c>
      <c r="D35" s="4">
        <f t="shared" si="0"/>
        <v>-7.0784086852020422E-3</v>
      </c>
      <c r="E35" s="3">
        <v>45568</v>
      </c>
      <c r="F35" s="4">
        <v>192.41</v>
      </c>
      <c r="G35" s="4">
        <f t="shared" si="1"/>
        <v>-3.683245416296721E-3</v>
      </c>
      <c r="H35" s="3">
        <v>45568</v>
      </c>
      <c r="I35" s="4">
        <v>411.58</v>
      </c>
      <c r="J35" s="4">
        <f t="shared" si="2"/>
        <v>7.7779402103050899E-4</v>
      </c>
    </row>
    <row r="36" spans="2:14" x14ac:dyDescent="0.35">
      <c r="B36" s="3">
        <v>45569</v>
      </c>
      <c r="C36" s="4">
        <v>129.85</v>
      </c>
      <c r="D36" s="4">
        <f t="shared" si="0"/>
        <v>3.5748887851295486E-2</v>
      </c>
      <c r="E36" s="3">
        <v>45569</v>
      </c>
      <c r="F36" s="4">
        <v>196.17</v>
      </c>
      <c r="G36" s="4">
        <f t="shared" si="1"/>
        <v>1.9353118308369943E-2</v>
      </c>
      <c r="H36" s="3">
        <v>45569</v>
      </c>
      <c r="I36" s="4">
        <v>408.36</v>
      </c>
      <c r="J36" s="4">
        <f t="shared" si="2"/>
        <v>-7.8542736135887026E-3</v>
      </c>
    </row>
    <row r="37" spans="2:14" x14ac:dyDescent="0.35">
      <c r="B37" s="3">
        <v>45572</v>
      </c>
      <c r="C37" s="4">
        <v>130.22999999999999</v>
      </c>
      <c r="D37" s="4">
        <f t="shared" si="0"/>
        <v>2.9221798708549684E-3</v>
      </c>
      <c r="E37" s="3">
        <v>45572</v>
      </c>
      <c r="F37" s="4">
        <v>195.55</v>
      </c>
      <c r="G37" s="4">
        <f t="shared" si="1"/>
        <v>-3.1655290397711866E-3</v>
      </c>
      <c r="H37" s="3">
        <v>45572</v>
      </c>
      <c r="I37" s="4">
        <v>408.06</v>
      </c>
      <c r="J37" s="4">
        <f t="shared" si="2"/>
        <v>-7.3491588521168438E-4</v>
      </c>
    </row>
    <row r="38" spans="2:14" x14ac:dyDescent="0.35">
      <c r="B38" s="3">
        <v>45573</v>
      </c>
      <c r="C38" s="4">
        <v>132.5</v>
      </c>
      <c r="D38" s="4">
        <f t="shared" si="0"/>
        <v>1.7280527446664529E-2</v>
      </c>
      <c r="E38" s="3">
        <v>45573</v>
      </c>
      <c r="F38" s="4">
        <v>194.57</v>
      </c>
      <c r="G38" s="4">
        <f t="shared" si="1"/>
        <v>-5.0241057182391913E-3</v>
      </c>
      <c r="H38" s="3">
        <v>45573</v>
      </c>
      <c r="I38" s="4">
        <v>414.18</v>
      </c>
      <c r="J38" s="4">
        <f t="shared" si="2"/>
        <v>1.488643952783697E-2</v>
      </c>
    </row>
    <row r="39" spans="2:14" x14ac:dyDescent="0.35">
      <c r="B39" s="3">
        <v>45574</v>
      </c>
      <c r="C39" s="4">
        <v>135.49</v>
      </c>
      <c r="D39" s="4">
        <f t="shared" si="0"/>
        <v>2.2315191432062953E-2</v>
      </c>
      <c r="E39" s="3">
        <v>45574</v>
      </c>
      <c r="F39" s="4">
        <v>195.73</v>
      </c>
      <c r="G39" s="4">
        <f t="shared" si="1"/>
        <v>5.9441630311480864E-3</v>
      </c>
      <c r="H39" s="3">
        <v>45574</v>
      </c>
      <c r="I39" s="4">
        <v>416.07</v>
      </c>
      <c r="J39" s="4">
        <f t="shared" si="2"/>
        <v>4.5528533929140025E-3</v>
      </c>
    </row>
    <row r="40" spans="2:14" x14ac:dyDescent="0.35">
      <c r="B40" s="3">
        <v>45575</v>
      </c>
      <c r="C40" s="4">
        <v>132.81</v>
      </c>
      <c r="D40" s="4">
        <f t="shared" si="0"/>
        <v>-1.9978301446180069E-2</v>
      </c>
      <c r="E40" s="3">
        <v>45575</v>
      </c>
      <c r="F40" s="4">
        <v>199.12</v>
      </c>
      <c r="G40" s="4">
        <f t="shared" si="1"/>
        <v>1.7171499544904378E-2</v>
      </c>
      <c r="H40" s="3">
        <v>45575</v>
      </c>
      <c r="I40" s="4">
        <v>409.96</v>
      </c>
      <c r="J40" s="4">
        <f t="shared" si="2"/>
        <v>-1.4793921372991292E-2</v>
      </c>
    </row>
    <row r="41" spans="2:14" x14ac:dyDescent="0.35">
      <c r="B41" s="3">
        <v>45576</v>
      </c>
      <c r="C41" s="4">
        <v>134.4</v>
      </c>
      <c r="D41" s="4">
        <f t="shared" si="0"/>
        <v>1.1900892676889541E-2</v>
      </c>
      <c r="E41" s="3">
        <v>45576</v>
      </c>
      <c r="F41" s="4">
        <v>201.89</v>
      </c>
      <c r="G41" s="4">
        <f t="shared" si="1"/>
        <v>1.3815336562795544E-2</v>
      </c>
      <c r="H41" s="3">
        <v>45576</v>
      </c>
      <c r="I41" s="4">
        <v>411.9</v>
      </c>
      <c r="J41" s="4">
        <f t="shared" si="2"/>
        <v>4.7210074786727674E-3</v>
      </c>
    </row>
    <row r="42" spans="2:14" x14ac:dyDescent="0.35">
      <c r="B42" s="3">
        <v>45579</v>
      </c>
      <c r="C42" s="4">
        <v>134.79</v>
      </c>
      <c r="D42" s="4">
        <f t="shared" si="0"/>
        <v>2.8975836611291328E-3</v>
      </c>
      <c r="E42" s="3">
        <v>45579</v>
      </c>
      <c r="F42" s="4">
        <v>206.1</v>
      </c>
      <c r="G42" s="4">
        <f t="shared" si="1"/>
        <v>2.0638493274280911E-2</v>
      </c>
      <c r="H42" s="3">
        <v>45579</v>
      </c>
      <c r="I42" s="4">
        <v>415.42</v>
      </c>
      <c r="J42" s="4">
        <f t="shared" si="2"/>
        <v>8.5094552059272743E-3</v>
      </c>
    </row>
    <row r="43" spans="2:14" x14ac:dyDescent="0.35">
      <c r="B43" s="3">
        <v>45580</v>
      </c>
      <c r="C43" s="4">
        <v>133.27000000000001</v>
      </c>
      <c r="D43" s="4">
        <f t="shared" si="0"/>
        <v>-1.1340866158542795E-2</v>
      </c>
      <c r="E43" s="3">
        <v>45580</v>
      </c>
      <c r="F43" s="4">
        <v>201.25</v>
      </c>
      <c r="G43" s="4">
        <f t="shared" si="1"/>
        <v>-2.3813571597740335E-2</v>
      </c>
      <c r="H43" s="3">
        <v>45580</v>
      </c>
      <c r="I43" s="4">
        <v>415.58</v>
      </c>
      <c r="J43" s="4">
        <f t="shared" si="2"/>
        <v>3.8507822377198409E-4</v>
      </c>
    </row>
    <row r="44" spans="2:14" x14ac:dyDescent="0.35">
      <c r="B44" s="3">
        <v>45581</v>
      </c>
      <c r="C44" s="4">
        <v>135.15</v>
      </c>
      <c r="D44" s="4">
        <f t="shared" si="0"/>
        <v>1.4008127130821002E-2</v>
      </c>
      <c r="E44" s="3">
        <v>45581</v>
      </c>
      <c r="F44" s="4">
        <v>202.13</v>
      </c>
      <c r="G44" s="4">
        <f t="shared" si="1"/>
        <v>4.3631384602340617E-3</v>
      </c>
      <c r="H44" s="3">
        <v>45581</v>
      </c>
      <c r="I44" s="4">
        <v>418.61</v>
      </c>
      <c r="J44" s="4">
        <f t="shared" si="2"/>
        <v>7.2645640091479891E-3</v>
      </c>
    </row>
    <row r="45" spans="2:14" x14ac:dyDescent="0.35">
      <c r="B45" s="3">
        <v>45582</v>
      </c>
      <c r="C45" s="4">
        <v>136.02000000000001</v>
      </c>
      <c r="D45" s="4">
        <f t="shared" si="0"/>
        <v>6.416661025036241E-3</v>
      </c>
      <c r="E45" s="3">
        <v>45582</v>
      </c>
      <c r="F45" s="4">
        <v>202.94</v>
      </c>
      <c r="G45" s="4">
        <f t="shared" si="1"/>
        <v>3.9993140920300263E-3</v>
      </c>
      <c r="H45" s="3">
        <v>45582</v>
      </c>
      <c r="I45" s="4">
        <v>415.6</v>
      </c>
      <c r="J45" s="4">
        <f t="shared" si="2"/>
        <v>-7.2164396558100918E-3</v>
      </c>
    </row>
    <row r="46" spans="2:14" x14ac:dyDescent="0.35">
      <c r="B46" s="3">
        <v>45583</v>
      </c>
      <c r="C46" s="4">
        <v>136.44999999999999</v>
      </c>
      <c r="D46" s="4">
        <f t="shared" si="0"/>
        <v>3.1563134068548493E-3</v>
      </c>
      <c r="E46" s="3">
        <v>45583</v>
      </c>
      <c r="F46" s="4">
        <v>206.24</v>
      </c>
      <c r="G46" s="4">
        <f t="shared" si="1"/>
        <v>1.6130170339940797E-2</v>
      </c>
      <c r="H46" s="3">
        <v>45583</v>
      </c>
      <c r="I46" s="4">
        <v>415</v>
      </c>
      <c r="J46" s="4">
        <f t="shared" si="2"/>
        <v>-1.4447389943743616E-3</v>
      </c>
    </row>
    <row r="47" spans="2:14" x14ac:dyDescent="0.35">
      <c r="B47" s="3">
        <v>45586</v>
      </c>
      <c r="C47" s="4">
        <v>137.19</v>
      </c>
      <c r="D47" s="4">
        <f t="shared" si="0"/>
        <v>5.4085791837259478E-3</v>
      </c>
      <c r="E47" s="3">
        <v>45586</v>
      </c>
      <c r="F47" s="4">
        <v>203.54</v>
      </c>
      <c r="G47" s="4">
        <f t="shared" si="1"/>
        <v>-1.317799342709236E-2</v>
      </c>
      <c r="H47" s="3">
        <v>45586</v>
      </c>
      <c r="I47" s="4">
        <v>406.4</v>
      </c>
      <c r="J47" s="4">
        <f t="shared" si="2"/>
        <v>-2.0940623966425598E-2</v>
      </c>
    </row>
    <row r="48" spans="2:14" x14ac:dyDescent="0.35">
      <c r="B48" s="3">
        <v>45587</v>
      </c>
      <c r="C48" s="4">
        <v>135.59</v>
      </c>
      <c r="D48" s="4">
        <f t="shared" si="0"/>
        <v>-1.1731199863855402E-2</v>
      </c>
      <c r="E48" s="3">
        <v>45587</v>
      </c>
      <c r="F48" s="4">
        <v>199.19</v>
      </c>
      <c r="G48" s="4">
        <f t="shared" si="1"/>
        <v>-2.160340267660299E-2</v>
      </c>
      <c r="H48" s="3">
        <v>45587</v>
      </c>
      <c r="I48" s="4">
        <v>401.85</v>
      </c>
      <c r="J48" s="4">
        <f t="shared" si="2"/>
        <v>-1.1259011605544877E-2</v>
      </c>
    </row>
    <row r="49" spans="2:10" x14ac:dyDescent="0.35">
      <c r="B49" s="3">
        <v>45588</v>
      </c>
      <c r="C49" s="4">
        <v>131.91999999999999</v>
      </c>
      <c r="D49" s="4">
        <f t="shared" si="0"/>
        <v>-2.7439948222874655E-2</v>
      </c>
      <c r="E49" s="3">
        <v>45588</v>
      </c>
      <c r="F49" s="4">
        <v>196.51</v>
      </c>
      <c r="G49" s="4">
        <f t="shared" si="1"/>
        <v>-1.3545822487506243E-2</v>
      </c>
      <c r="H49" s="3">
        <v>45588</v>
      </c>
      <c r="I49" s="4">
        <v>399.64</v>
      </c>
      <c r="J49" s="4">
        <f t="shared" si="2"/>
        <v>-5.5147427939097327E-3</v>
      </c>
    </row>
    <row r="50" spans="2:10" x14ac:dyDescent="0.35">
      <c r="B50" s="3">
        <v>45589</v>
      </c>
      <c r="C50" s="4">
        <v>132.75</v>
      </c>
      <c r="D50" s="4">
        <f t="shared" si="0"/>
        <v>6.2719818707046571E-3</v>
      </c>
      <c r="E50" s="3">
        <v>45589</v>
      </c>
      <c r="F50" s="4">
        <v>197.94</v>
      </c>
      <c r="G50" s="4">
        <f t="shared" si="1"/>
        <v>7.2506338688684835E-3</v>
      </c>
      <c r="H50" s="3">
        <v>45589</v>
      </c>
      <c r="I50" s="4">
        <v>402.68</v>
      </c>
      <c r="J50" s="4">
        <f t="shared" si="2"/>
        <v>7.5780599964048179E-3</v>
      </c>
    </row>
    <row r="51" spans="2:10" x14ac:dyDescent="0.35">
      <c r="B51" s="3">
        <v>45590</v>
      </c>
      <c r="C51" s="4">
        <v>134.58000000000001</v>
      </c>
      <c r="D51" s="4">
        <f t="shared" si="0"/>
        <v>1.3691157638124452E-2</v>
      </c>
      <c r="E51" s="3">
        <v>45590</v>
      </c>
      <c r="F51" s="4">
        <v>197.59</v>
      </c>
      <c r="G51" s="4">
        <f t="shared" si="1"/>
        <v>-1.7697777228189437E-3</v>
      </c>
      <c r="H51" s="3">
        <v>45590</v>
      </c>
      <c r="I51" s="4">
        <v>398.91</v>
      </c>
      <c r="J51" s="4">
        <f t="shared" si="2"/>
        <v>-9.4063743244978681E-3</v>
      </c>
    </row>
    <row r="52" spans="2:10" x14ac:dyDescent="0.35">
      <c r="B52" s="3">
        <v>45593</v>
      </c>
      <c r="C52" s="4">
        <v>135.78</v>
      </c>
      <c r="D52" s="4">
        <f t="shared" si="0"/>
        <v>8.8771111133283398E-3</v>
      </c>
      <c r="E52" s="3">
        <v>45593</v>
      </c>
      <c r="F52" s="4">
        <v>203.03</v>
      </c>
      <c r="G52" s="4">
        <f t="shared" si="1"/>
        <v>2.715957462842411E-2</v>
      </c>
      <c r="H52" s="3">
        <v>45593</v>
      </c>
      <c r="I52" s="4">
        <v>402.89</v>
      </c>
      <c r="J52" s="4">
        <f t="shared" si="2"/>
        <v>9.9277442979497366E-3</v>
      </c>
    </row>
    <row r="53" spans="2:10" x14ac:dyDescent="0.35">
      <c r="B53" s="3">
        <v>45594</v>
      </c>
      <c r="C53" s="4">
        <v>137.78</v>
      </c>
      <c r="D53" s="4">
        <f t="shared" si="0"/>
        <v>1.4622281291549299E-2</v>
      </c>
      <c r="E53" s="3">
        <v>45594</v>
      </c>
      <c r="F53" s="4">
        <v>203.56</v>
      </c>
      <c r="G53" s="4">
        <f t="shared" si="1"/>
        <v>2.6070503464818984E-3</v>
      </c>
      <c r="H53" s="3">
        <v>45594</v>
      </c>
      <c r="I53" s="4">
        <v>395.07</v>
      </c>
      <c r="J53" s="4">
        <f t="shared" si="2"/>
        <v>-1.9600607444435703E-2</v>
      </c>
    </row>
    <row r="54" spans="2:10" x14ac:dyDescent="0.35">
      <c r="B54" s="3">
        <v>45595</v>
      </c>
      <c r="C54" s="4">
        <v>136.5</v>
      </c>
      <c r="D54" s="4">
        <f t="shared" si="0"/>
        <v>-9.3335955400357662E-3</v>
      </c>
      <c r="E54" s="3">
        <v>45595</v>
      </c>
      <c r="F54" s="4">
        <v>201.69</v>
      </c>
      <c r="G54" s="4">
        <f t="shared" si="1"/>
        <v>-9.2289365715769733E-3</v>
      </c>
      <c r="H54" s="3">
        <v>45595</v>
      </c>
      <c r="I54" s="4">
        <v>392.52</v>
      </c>
      <c r="J54" s="4">
        <f t="shared" si="2"/>
        <v>-6.4754730519460679E-3</v>
      </c>
    </row>
    <row r="55" spans="2:10" x14ac:dyDescent="0.35">
      <c r="B55" s="3">
        <v>45596</v>
      </c>
      <c r="C55" s="4">
        <v>134.79</v>
      </c>
      <c r="D55" s="4">
        <f t="shared" si="0"/>
        <v>-1.260660287483617E-2</v>
      </c>
      <c r="E55" s="3">
        <v>45596</v>
      </c>
      <c r="F55" s="4">
        <v>197.93</v>
      </c>
      <c r="G55" s="4">
        <f t="shared" si="1"/>
        <v>-1.8818432316410671E-2</v>
      </c>
      <c r="H55" s="3">
        <v>45596</v>
      </c>
      <c r="I55" s="4">
        <v>393.75</v>
      </c>
      <c r="J55" s="4">
        <f t="shared" si="2"/>
        <v>3.1286988015502004E-3</v>
      </c>
    </row>
    <row r="56" spans="2:10" x14ac:dyDescent="0.35">
      <c r="B56" s="3">
        <v>45597</v>
      </c>
      <c r="C56" s="4">
        <v>136.46</v>
      </c>
      <c r="D56" s="4">
        <f t="shared" si="0"/>
        <v>1.2313519637099368E-2</v>
      </c>
      <c r="E56" s="3">
        <v>45597</v>
      </c>
      <c r="F56" s="4">
        <v>197.66</v>
      </c>
      <c r="G56" s="4">
        <f t="shared" si="1"/>
        <v>-1.3650498846065062E-3</v>
      </c>
      <c r="H56" s="3">
        <v>45597</v>
      </c>
      <c r="I56" s="4">
        <v>392.59</v>
      </c>
      <c r="J56" s="4">
        <f t="shared" si="2"/>
        <v>-2.9503798394037162E-3</v>
      </c>
    </row>
    <row r="57" spans="2:10" x14ac:dyDescent="0.35">
      <c r="B57" s="3">
        <v>45600</v>
      </c>
      <c r="C57" s="4">
        <v>136.87</v>
      </c>
      <c r="D57" s="4">
        <f t="shared" si="0"/>
        <v>3.0000388358972785E-3</v>
      </c>
      <c r="E57" s="3">
        <v>45600</v>
      </c>
      <c r="F57" s="4">
        <v>199.89</v>
      </c>
      <c r="G57" s="4">
        <f t="shared" si="1"/>
        <v>1.1218832294518144E-2</v>
      </c>
      <c r="H57" s="3">
        <v>45600</v>
      </c>
      <c r="I57" s="4">
        <v>395.57</v>
      </c>
      <c r="J57" s="4">
        <f t="shared" si="2"/>
        <v>7.5619523966263813E-3</v>
      </c>
    </row>
    <row r="58" spans="2:10" x14ac:dyDescent="0.35">
      <c r="B58" s="3">
        <v>45601</v>
      </c>
      <c r="C58" s="4">
        <v>137.82</v>
      </c>
      <c r="D58" s="4">
        <f t="shared" si="0"/>
        <v>6.9169157058865949E-3</v>
      </c>
      <c r="E58" s="3">
        <v>45601</v>
      </c>
      <c r="F58" s="4">
        <v>203.36</v>
      </c>
      <c r="G58" s="4">
        <f t="shared" si="1"/>
        <v>1.7210592198588337E-2</v>
      </c>
      <c r="H58" s="3">
        <v>45601</v>
      </c>
      <c r="I58" s="4">
        <v>400.09</v>
      </c>
      <c r="J58" s="4">
        <f t="shared" si="2"/>
        <v>1.1361759102213043E-2</v>
      </c>
    </row>
    <row r="59" spans="2:10" x14ac:dyDescent="0.35">
      <c r="B59" s="3">
        <v>45602</v>
      </c>
      <c r="C59" s="4">
        <v>140.91</v>
      </c>
      <c r="D59" s="4">
        <f t="shared" si="0"/>
        <v>2.2172902777952253E-2</v>
      </c>
      <c r="E59" s="3">
        <v>45602</v>
      </c>
      <c r="F59" s="4">
        <v>208.04</v>
      </c>
      <c r="G59" s="4">
        <f t="shared" si="1"/>
        <v>2.2752561463727616E-2</v>
      </c>
      <c r="H59" s="3">
        <v>45602</v>
      </c>
      <c r="I59" s="4">
        <v>388.37</v>
      </c>
      <c r="J59" s="4">
        <f t="shared" si="2"/>
        <v>-2.9731028324072817E-2</v>
      </c>
    </row>
    <row r="60" spans="2:10" x14ac:dyDescent="0.35">
      <c r="B60" s="3">
        <v>45603</v>
      </c>
      <c r="C60" s="4">
        <v>147.37</v>
      </c>
      <c r="D60" s="4">
        <f t="shared" si="0"/>
        <v>4.482504251815822E-2</v>
      </c>
      <c r="E60" s="3">
        <v>45603</v>
      </c>
      <c r="F60" s="4">
        <v>221.7</v>
      </c>
      <c r="G60" s="4">
        <f t="shared" si="1"/>
        <v>6.3594747717393929E-2</v>
      </c>
      <c r="H60" s="3">
        <v>45603</v>
      </c>
      <c r="I60" s="4">
        <v>399.44</v>
      </c>
      <c r="J60" s="4">
        <f t="shared" si="2"/>
        <v>2.8105072717147905E-2</v>
      </c>
    </row>
    <row r="61" spans="2:10" x14ac:dyDescent="0.35">
      <c r="B61" s="3">
        <v>45604</v>
      </c>
      <c r="C61" s="4">
        <v>134.61000000000001</v>
      </c>
      <c r="D61" s="4">
        <f t="shared" si="0"/>
        <v>-9.0564722569170364E-2</v>
      </c>
      <c r="E61" s="3">
        <v>45604</v>
      </c>
      <c r="F61" s="4">
        <v>222.58</v>
      </c>
      <c r="G61" s="4">
        <f t="shared" si="1"/>
        <v>3.961470923013799E-3</v>
      </c>
      <c r="H61" s="3">
        <v>45604</v>
      </c>
      <c r="I61" s="4">
        <v>405.9</v>
      </c>
      <c r="J61" s="4">
        <f t="shared" si="2"/>
        <v>1.6043257652498255E-2</v>
      </c>
    </row>
    <row r="62" spans="2:10" x14ac:dyDescent="0.35">
      <c r="B62" s="3">
        <v>45607</v>
      </c>
      <c r="C62" s="4">
        <v>137.4</v>
      </c>
      <c r="D62" s="4">
        <f t="shared" si="0"/>
        <v>2.0514671132247031E-2</v>
      </c>
      <c r="E62" s="3">
        <v>45607</v>
      </c>
      <c r="F62" s="4">
        <v>213.87</v>
      </c>
      <c r="G62" s="4">
        <f t="shared" si="1"/>
        <v>-3.9918233747632925E-2</v>
      </c>
      <c r="H62" s="3">
        <v>45607</v>
      </c>
      <c r="I62" s="4">
        <v>408.29</v>
      </c>
      <c r="J62" s="4">
        <f t="shared" si="2"/>
        <v>5.8708823855004866E-3</v>
      </c>
    </row>
    <row r="63" spans="2:10" x14ac:dyDescent="0.35">
      <c r="B63" s="3">
        <v>45608</v>
      </c>
      <c r="C63" s="4">
        <v>133.19999999999999</v>
      </c>
      <c r="D63" s="4">
        <f t="shared" si="0"/>
        <v>-3.1044621681959761E-2</v>
      </c>
      <c r="E63" s="3">
        <v>45608</v>
      </c>
      <c r="F63" s="4">
        <v>209.59</v>
      </c>
      <c r="G63" s="4">
        <f t="shared" si="1"/>
        <v>-2.0215112412578229E-2</v>
      </c>
      <c r="H63" s="3">
        <v>45608</v>
      </c>
      <c r="I63" s="4">
        <v>403.08</v>
      </c>
      <c r="J63" s="4">
        <f t="shared" si="2"/>
        <v>-1.2842652818150668E-2</v>
      </c>
    </row>
    <row r="64" spans="2:10" x14ac:dyDescent="0.35">
      <c r="B64" s="3">
        <v>45609</v>
      </c>
      <c r="C64" s="4">
        <v>132.76</v>
      </c>
      <c r="D64" s="4">
        <f t="shared" si="0"/>
        <v>-3.3087712545150083E-3</v>
      </c>
      <c r="E64" s="3">
        <v>45609</v>
      </c>
      <c r="F64" s="4">
        <v>210.77</v>
      </c>
      <c r="G64" s="4">
        <f t="shared" si="1"/>
        <v>5.614250163887391E-3</v>
      </c>
      <c r="H64" s="3">
        <v>45609</v>
      </c>
      <c r="I64" s="4">
        <v>410.19</v>
      </c>
      <c r="J64" s="4">
        <f t="shared" si="2"/>
        <v>1.7485413576898701E-2</v>
      </c>
    </row>
    <row r="65" spans="2:10" x14ac:dyDescent="0.35">
      <c r="B65" s="3">
        <v>45610</v>
      </c>
      <c r="C65" s="4">
        <v>134.56</v>
      </c>
      <c r="D65" s="4">
        <f t="shared" si="0"/>
        <v>1.3467209372864275E-2</v>
      </c>
      <c r="E65" s="3">
        <v>45610</v>
      </c>
      <c r="F65" s="4">
        <v>211.47</v>
      </c>
      <c r="G65" s="4">
        <f t="shared" si="1"/>
        <v>3.3156529049387373E-3</v>
      </c>
      <c r="H65" s="3">
        <v>45610</v>
      </c>
      <c r="I65" s="4">
        <v>405.72</v>
      </c>
      <c r="J65" s="4">
        <f t="shared" si="2"/>
        <v>-1.0957200481305662E-2</v>
      </c>
    </row>
    <row r="66" spans="2:10" x14ac:dyDescent="0.35">
      <c r="B66" s="3">
        <v>45611</v>
      </c>
      <c r="C66" s="4">
        <v>132.5</v>
      </c>
      <c r="D66" s="4">
        <f t="shared" si="0"/>
        <v>-1.5427550798361445E-2</v>
      </c>
      <c r="E66" s="3">
        <v>45611</v>
      </c>
      <c r="F66" s="4">
        <v>208.38</v>
      </c>
      <c r="G66" s="4">
        <f t="shared" si="1"/>
        <v>-1.4719808469856765E-2</v>
      </c>
      <c r="H66" s="3">
        <v>45611</v>
      </c>
      <c r="I66" s="4">
        <v>408.18</v>
      </c>
      <c r="J66" s="4">
        <f t="shared" si="2"/>
        <v>6.0449870772298908E-3</v>
      </c>
    </row>
    <row r="67" spans="2:10" x14ac:dyDescent="0.35">
      <c r="B67" s="3">
        <v>45614</v>
      </c>
      <c r="C67" s="4">
        <v>132.19</v>
      </c>
      <c r="D67" s="4">
        <f t="shared" si="0"/>
        <v>-2.3423638349679976E-3</v>
      </c>
      <c r="E67" s="3">
        <v>45614</v>
      </c>
      <c r="F67" s="4">
        <v>207.83</v>
      </c>
      <c r="G67" s="4">
        <f t="shared" si="1"/>
        <v>-2.6428981530557394E-3</v>
      </c>
      <c r="H67" s="3">
        <v>45614</v>
      </c>
      <c r="I67" s="4">
        <v>410.44</v>
      </c>
      <c r="J67" s="4">
        <f t="shared" si="2"/>
        <v>5.5215014089835535E-3</v>
      </c>
    </row>
    <row r="68" spans="2:10" x14ac:dyDescent="0.35">
      <c r="B68" s="3">
        <v>45615</v>
      </c>
      <c r="C68" s="4">
        <v>131.44</v>
      </c>
      <c r="D68" s="4">
        <f t="shared" si="0"/>
        <v>-5.6898078622964476E-3</v>
      </c>
      <c r="E68" s="3">
        <v>45615</v>
      </c>
      <c r="F68" s="4">
        <v>205.53</v>
      </c>
      <c r="G68" s="4">
        <f t="shared" si="1"/>
        <v>-1.1128429148064001E-2</v>
      </c>
      <c r="H68" s="3">
        <v>45615</v>
      </c>
      <c r="I68" s="4">
        <v>406.8</v>
      </c>
      <c r="J68" s="4">
        <f t="shared" si="2"/>
        <v>-8.9080908196033093E-3</v>
      </c>
    </row>
    <row r="69" spans="2:10" x14ac:dyDescent="0.35">
      <c r="B69" s="3">
        <v>45616</v>
      </c>
      <c r="C69" s="4">
        <v>135.25</v>
      </c>
      <c r="D69" s="4">
        <f t="shared" si="0"/>
        <v>2.8574443997579024E-2</v>
      </c>
      <c r="E69" s="3">
        <v>45616</v>
      </c>
      <c r="F69" s="4">
        <v>202.15</v>
      </c>
      <c r="G69" s="4">
        <f t="shared" si="1"/>
        <v>-1.6582012596138007E-2</v>
      </c>
      <c r="H69" s="3">
        <v>45616</v>
      </c>
      <c r="I69" s="4">
        <v>400</v>
      </c>
      <c r="J69" s="4">
        <f t="shared" si="2"/>
        <v>-1.6857117066423122E-2</v>
      </c>
    </row>
    <row r="70" spans="2:10" x14ac:dyDescent="0.35">
      <c r="B70" s="3">
        <v>45617</v>
      </c>
      <c r="C70" s="4">
        <v>133.26</v>
      </c>
      <c r="D70" s="4">
        <f t="shared" ref="D70:D129" si="3">LN(C70)-LN(C69)</f>
        <v>-1.4822810592200142E-2</v>
      </c>
      <c r="E70" s="3">
        <v>45617</v>
      </c>
      <c r="F70" s="4">
        <v>207.12</v>
      </c>
      <c r="G70" s="4">
        <f t="shared" ref="G70:G129" si="4">LN(F70)-LN(F69)</f>
        <v>2.428833935650232E-2</v>
      </c>
      <c r="H70" s="3">
        <v>45617</v>
      </c>
      <c r="I70" s="4">
        <v>410.45</v>
      </c>
      <c r="J70" s="4">
        <f t="shared" ref="J70:J129" si="5">LN(I70)-LN(I69)</f>
        <v>2.5789571686293478E-2</v>
      </c>
    </row>
    <row r="71" spans="2:10" x14ac:dyDescent="0.35">
      <c r="B71" s="3">
        <v>45618</v>
      </c>
      <c r="C71" s="4">
        <v>137.34</v>
      </c>
      <c r="D71" s="4">
        <f t="shared" si="3"/>
        <v>3.0157496058139444E-2</v>
      </c>
      <c r="E71" s="3">
        <v>45618</v>
      </c>
      <c r="F71" s="4">
        <v>212.15</v>
      </c>
      <c r="G71" s="4">
        <f t="shared" si="4"/>
        <v>2.3995236205052173E-2</v>
      </c>
      <c r="H71" s="3">
        <v>45618</v>
      </c>
      <c r="I71" s="4">
        <v>420</v>
      </c>
      <c r="J71" s="4">
        <f t="shared" si="5"/>
        <v>2.3000592483138682E-2</v>
      </c>
    </row>
    <row r="72" spans="2:10" x14ac:dyDescent="0.35">
      <c r="B72" s="3">
        <v>45621</v>
      </c>
      <c r="C72" s="4">
        <v>140.93</v>
      </c>
      <c r="D72" s="4">
        <f t="shared" si="3"/>
        <v>2.5803710010888992E-2</v>
      </c>
      <c r="E72" s="3">
        <v>45621</v>
      </c>
      <c r="F72" s="4">
        <v>220</v>
      </c>
      <c r="G72" s="4">
        <f t="shared" si="4"/>
        <v>3.6333974704027661E-2</v>
      </c>
      <c r="H72" s="3">
        <v>45621</v>
      </c>
      <c r="I72" s="4">
        <v>428.67</v>
      </c>
      <c r="J72" s="4">
        <f t="shared" si="5"/>
        <v>2.0432680871574682E-2</v>
      </c>
    </row>
    <row r="73" spans="2:10" x14ac:dyDescent="0.35">
      <c r="B73" s="3">
        <v>45622</v>
      </c>
      <c r="C73" s="4">
        <v>139.66999999999999</v>
      </c>
      <c r="D73" s="4">
        <f t="shared" si="3"/>
        <v>-8.9808158857396236E-3</v>
      </c>
      <c r="E73" s="3">
        <v>45622</v>
      </c>
      <c r="F73" s="4">
        <v>223.24</v>
      </c>
      <c r="G73" s="4">
        <f t="shared" si="4"/>
        <v>1.4619879567870697E-2</v>
      </c>
      <c r="H73" s="3">
        <v>45622</v>
      </c>
      <c r="I73" s="4">
        <v>429.52</v>
      </c>
      <c r="J73" s="4">
        <f t="shared" si="5"/>
        <v>1.9809139653252927E-3</v>
      </c>
    </row>
    <row r="74" spans="2:10" x14ac:dyDescent="0.35">
      <c r="B74" s="3">
        <v>45623</v>
      </c>
      <c r="C74" s="4">
        <v>138.28</v>
      </c>
      <c r="D74" s="4">
        <f t="shared" si="3"/>
        <v>-1.0001882264256245E-2</v>
      </c>
      <c r="E74" s="3">
        <v>45623</v>
      </c>
      <c r="F74" s="4">
        <v>222.67</v>
      </c>
      <c r="G74" s="4">
        <f t="shared" si="4"/>
        <v>-2.556571103866645E-3</v>
      </c>
      <c r="H74" s="3">
        <v>45623</v>
      </c>
      <c r="I74" s="4">
        <v>427.19</v>
      </c>
      <c r="J74" s="4">
        <f t="shared" si="5"/>
        <v>-5.439426982006168E-3</v>
      </c>
    </row>
    <row r="75" spans="2:10" x14ac:dyDescent="0.35">
      <c r="B75" s="3">
        <v>45625</v>
      </c>
      <c r="C75" s="4">
        <v>136.11000000000001</v>
      </c>
      <c r="D75" s="4">
        <f t="shared" si="3"/>
        <v>-1.5817232709441242E-2</v>
      </c>
      <c r="E75" s="3">
        <v>45625</v>
      </c>
      <c r="F75" s="4">
        <v>231.4</v>
      </c>
      <c r="G75" s="4">
        <f t="shared" si="4"/>
        <v>3.84569599432103E-2</v>
      </c>
      <c r="H75" s="3">
        <v>45625</v>
      </c>
      <c r="I75" s="4">
        <v>429.13</v>
      </c>
      <c r="J75" s="4">
        <f t="shared" si="5"/>
        <v>4.5310241943310459E-3</v>
      </c>
    </row>
    <row r="76" spans="2:10" x14ac:dyDescent="0.35">
      <c r="B76" s="3">
        <v>45628</v>
      </c>
      <c r="C76" s="4">
        <v>137.49</v>
      </c>
      <c r="D76" s="4">
        <f t="shared" si="3"/>
        <v>1.0087804845159809E-2</v>
      </c>
      <c r="E76" s="3">
        <v>45628</v>
      </c>
      <c r="F76" s="4">
        <v>233.41</v>
      </c>
      <c r="G76" s="4">
        <f t="shared" si="4"/>
        <v>8.6487490765190245E-3</v>
      </c>
      <c r="H76" s="3">
        <v>45628</v>
      </c>
      <c r="I76" s="4">
        <v>426.96</v>
      </c>
      <c r="J76" s="4">
        <f t="shared" si="5"/>
        <v>-5.069571300949427E-3</v>
      </c>
    </row>
    <row r="77" spans="2:10" x14ac:dyDescent="0.35">
      <c r="B77" s="3">
        <v>45629</v>
      </c>
      <c r="C77" s="4">
        <v>137.46</v>
      </c>
      <c r="D77" s="4">
        <f t="shared" si="3"/>
        <v>-2.1822149568340166E-4</v>
      </c>
      <c r="E77" s="3">
        <v>45629</v>
      </c>
      <c r="F77" s="4">
        <v>231.82</v>
      </c>
      <c r="G77" s="4">
        <f t="shared" si="4"/>
        <v>-6.8353553754967322E-3</v>
      </c>
      <c r="H77" s="3">
        <v>45629</v>
      </c>
      <c r="I77" s="4">
        <v>429.35</v>
      </c>
      <c r="J77" s="4">
        <f t="shared" si="5"/>
        <v>5.5821050928042126E-3</v>
      </c>
    </row>
    <row r="78" spans="2:10" x14ac:dyDescent="0.35">
      <c r="B78" s="3">
        <v>45630</v>
      </c>
      <c r="C78" s="4">
        <v>139.07</v>
      </c>
      <c r="D78" s="4">
        <f t="shared" si="3"/>
        <v>1.164443779706037E-2</v>
      </c>
      <c r="E78" s="3">
        <v>45630</v>
      </c>
      <c r="F78" s="4">
        <v>232.87</v>
      </c>
      <c r="G78" s="4">
        <f t="shared" si="4"/>
        <v>4.5191494845457925E-3</v>
      </c>
      <c r="H78" s="3">
        <v>45630</v>
      </c>
      <c r="I78" s="4">
        <v>427.92</v>
      </c>
      <c r="J78" s="4">
        <f t="shared" si="5"/>
        <v>-3.3361748954989778E-3</v>
      </c>
    </row>
    <row r="79" spans="2:10" x14ac:dyDescent="0.35">
      <c r="B79" s="3">
        <v>45631</v>
      </c>
      <c r="C79" s="4">
        <v>136.32</v>
      </c>
      <c r="D79" s="4">
        <f t="shared" si="3"/>
        <v>-1.9972340409514011E-2</v>
      </c>
      <c r="E79" s="3">
        <v>45631</v>
      </c>
      <c r="F79" s="4">
        <v>233.19</v>
      </c>
      <c r="G79" s="4">
        <f t="shared" si="4"/>
        <v>1.3732139650937114E-3</v>
      </c>
      <c r="H79" s="3">
        <v>45631</v>
      </c>
      <c r="I79" s="4">
        <v>426.54</v>
      </c>
      <c r="J79" s="4">
        <f t="shared" si="5"/>
        <v>-3.2301130535481448E-3</v>
      </c>
    </row>
    <row r="80" spans="2:10" x14ac:dyDescent="0.35">
      <c r="B80" s="3">
        <v>45632</v>
      </c>
      <c r="C80" s="4">
        <v>136.91999999999999</v>
      </c>
      <c r="D80" s="4">
        <f t="shared" si="3"/>
        <v>4.3917505809796253E-3</v>
      </c>
      <c r="E80" s="3">
        <v>45632</v>
      </c>
      <c r="F80" s="4">
        <v>230.74</v>
      </c>
      <c r="G80" s="4">
        <f t="shared" si="4"/>
        <v>-1.0562036411094766E-2</v>
      </c>
      <c r="H80" s="3">
        <v>45632</v>
      </c>
      <c r="I80" s="4">
        <v>431.37</v>
      </c>
      <c r="J80" s="4">
        <f t="shared" si="5"/>
        <v>1.1260041338313265E-2</v>
      </c>
    </row>
    <row r="81" spans="2:10" x14ac:dyDescent="0.35">
      <c r="B81" s="3">
        <v>45635</v>
      </c>
      <c r="C81" s="4">
        <v>137.27000000000001</v>
      </c>
      <c r="D81" s="4">
        <f t="shared" si="3"/>
        <v>2.552975601583185E-3</v>
      </c>
      <c r="E81" s="3">
        <v>45635</v>
      </c>
      <c r="F81" s="4">
        <v>228.13</v>
      </c>
      <c r="G81" s="4">
        <f t="shared" si="4"/>
        <v>-1.1375893594359532E-2</v>
      </c>
      <c r="H81" s="3">
        <v>45635</v>
      </c>
      <c r="I81" s="4">
        <v>429.18</v>
      </c>
      <c r="J81" s="4">
        <f t="shared" si="5"/>
        <v>-5.0897791594124442E-3</v>
      </c>
    </row>
    <row r="82" spans="2:10" x14ac:dyDescent="0.35">
      <c r="B82" s="3">
        <v>45636</v>
      </c>
      <c r="C82" s="4">
        <v>138.30000000000001</v>
      </c>
      <c r="D82" s="4">
        <f t="shared" si="3"/>
        <v>7.4754494071447297E-3</v>
      </c>
      <c r="E82" s="3">
        <v>45636</v>
      </c>
      <c r="F82" s="4">
        <v>227.45</v>
      </c>
      <c r="G82" s="4">
        <f t="shared" si="4"/>
        <v>-2.9852078887708799E-3</v>
      </c>
      <c r="H82" s="3">
        <v>45636</v>
      </c>
      <c r="I82" s="4">
        <v>422.59</v>
      </c>
      <c r="J82" s="4">
        <f t="shared" si="5"/>
        <v>-1.5473969484698813E-2</v>
      </c>
    </row>
    <row r="83" spans="2:10" x14ac:dyDescent="0.35">
      <c r="B83" s="3">
        <v>45637</v>
      </c>
      <c r="C83" s="4">
        <v>138.84</v>
      </c>
      <c r="D83" s="4">
        <f t="shared" si="3"/>
        <v>3.8969523228731262E-3</v>
      </c>
      <c r="E83" s="3">
        <v>45637</v>
      </c>
      <c r="F83" s="4">
        <v>227.41</v>
      </c>
      <c r="G83" s="4">
        <f t="shared" si="4"/>
        <v>-1.7587829267462496E-4</v>
      </c>
      <c r="H83" s="3">
        <v>45637</v>
      </c>
      <c r="I83" s="4">
        <v>421.38</v>
      </c>
      <c r="J83" s="4">
        <f t="shared" si="5"/>
        <v>-2.8674024646644369E-3</v>
      </c>
    </row>
    <row r="84" spans="2:10" x14ac:dyDescent="0.35">
      <c r="B84" s="3">
        <v>45638</v>
      </c>
      <c r="C84" s="4">
        <v>137.47</v>
      </c>
      <c r="D84" s="4">
        <f t="shared" si="3"/>
        <v>-9.9164795102568704E-3</v>
      </c>
      <c r="E84" s="3">
        <v>45638</v>
      </c>
      <c r="F84" s="4">
        <v>226.06</v>
      </c>
      <c r="G84" s="4">
        <f t="shared" si="4"/>
        <v>-5.9541049607529928E-3</v>
      </c>
      <c r="H84" s="3">
        <v>45638</v>
      </c>
      <c r="I84" s="4">
        <v>414.42</v>
      </c>
      <c r="J84" s="4">
        <f t="shared" si="5"/>
        <v>-1.6655087070047259E-2</v>
      </c>
    </row>
    <row r="85" spans="2:10" x14ac:dyDescent="0.35">
      <c r="B85" s="3">
        <v>45639</v>
      </c>
      <c r="C85" s="4">
        <v>130.94999999999999</v>
      </c>
      <c r="D85" s="4">
        <f t="shared" si="3"/>
        <v>-4.8590140529608306E-2</v>
      </c>
      <c r="E85" s="3">
        <v>45639</v>
      </c>
      <c r="F85" s="4">
        <v>227.45</v>
      </c>
      <c r="G85" s="4">
        <f t="shared" si="4"/>
        <v>6.1299832534276177E-3</v>
      </c>
      <c r="H85" s="3">
        <v>45639</v>
      </c>
      <c r="I85" s="4">
        <v>416.98</v>
      </c>
      <c r="J85" s="4">
        <f t="shared" si="5"/>
        <v>6.1583066889738802E-3</v>
      </c>
    </row>
    <row r="86" spans="2:10" x14ac:dyDescent="0.35">
      <c r="B86" s="3">
        <v>45642</v>
      </c>
      <c r="C86" s="4">
        <v>132.19999999999999</v>
      </c>
      <c r="D86" s="4">
        <f t="shared" si="3"/>
        <v>9.5003564638656002E-3</v>
      </c>
      <c r="E86" s="3">
        <v>45642</v>
      </c>
      <c r="F86" s="4">
        <v>231.66</v>
      </c>
      <c r="G86" s="4">
        <f t="shared" si="4"/>
        <v>1.8340345488186749E-2</v>
      </c>
      <c r="H86" s="3">
        <v>45642</v>
      </c>
      <c r="I86" s="4">
        <v>410.71</v>
      </c>
      <c r="J86" s="4">
        <f t="shared" si="5"/>
        <v>-1.5150889678824164E-2</v>
      </c>
    </row>
    <row r="87" spans="2:10" x14ac:dyDescent="0.35">
      <c r="B87" s="3">
        <v>45643</v>
      </c>
      <c r="C87" s="4">
        <v>132.24</v>
      </c>
      <c r="D87" s="4">
        <f t="shared" si="3"/>
        <v>3.0252609518299778E-4</v>
      </c>
      <c r="E87" s="3">
        <v>45643</v>
      </c>
      <c r="F87" s="4">
        <v>227.93</v>
      </c>
      <c r="G87" s="4">
        <f t="shared" si="4"/>
        <v>-1.6232215233153546E-2</v>
      </c>
      <c r="H87" s="3">
        <v>45643</v>
      </c>
      <c r="I87" s="4">
        <v>408.47</v>
      </c>
      <c r="J87" s="4">
        <f t="shared" si="5"/>
        <v>-5.4688971483187743E-3</v>
      </c>
    </row>
    <row r="88" spans="2:10" x14ac:dyDescent="0.35">
      <c r="B88" s="3">
        <v>45644</v>
      </c>
      <c r="C88" s="4">
        <v>127.54</v>
      </c>
      <c r="D88" s="4">
        <f t="shared" si="3"/>
        <v>-3.6188412625643984E-2</v>
      </c>
      <c r="E88" s="3">
        <v>45644</v>
      </c>
      <c r="F88" s="4">
        <v>221.19</v>
      </c>
      <c r="G88" s="4">
        <f t="shared" si="4"/>
        <v>-3.0016503601377309E-2</v>
      </c>
      <c r="H88" s="3">
        <v>45644</v>
      </c>
      <c r="I88" s="4">
        <v>393.82</v>
      </c>
      <c r="J88" s="4">
        <f t="shared" si="5"/>
        <v>-3.6524520073743183E-2</v>
      </c>
    </row>
    <row r="89" spans="2:10" x14ac:dyDescent="0.35">
      <c r="B89" s="3">
        <v>45645</v>
      </c>
      <c r="C89" s="4">
        <v>129.35</v>
      </c>
      <c r="D89" s="4">
        <f t="shared" si="3"/>
        <v>1.4091867744912889E-2</v>
      </c>
      <c r="E89" s="3">
        <v>45645</v>
      </c>
      <c r="F89" s="4">
        <v>222.46</v>
      </c>
      <c r="G89" s="4">
        <f t="shared" si="4"/>
        <v>5.7252494942146015E-3</v>
      </c>
      <c r="H89" s="3">
        <v>45645</v>
      </c>
      <c r="I89" s="4">
        <v>385.02</v>
      </c>
      <c r="J89" s="4">
        <f t="shared" si="5"/>
        <v>-2.2598671126545788E-2</v>
      </c>
    </row>
    <row r="90" spans="2:10" x14ac:dyDescent="0.35">
      <c r="B90" s="3">
        <v>45646</v>
      </c>
      <c r="C90" s="4">
        <v>134.21</v>
      </c>
      <c r="D90" s="4">
        <f t="shared" si="3"/>
        <v>3.6883828777676264E-2</v>
      </c>
      <c r="E90" s="3">
        <v>45646</v>
      </c>
      <c r="F90" s="4">
        <v>230.28</v>
      </c>
      <c r="G90" s="4">
        <f t="shared" si="4"/>
        <v>3.4548649643725504E-2</v>
      </c>
      <c r="H90" s="3">
        <v>45646</v>
      </c>
      <c r="I90" s="4">
        <v>392.6</v>
      </c>
      <c r="J90" s="4">
        <f t="shared" si="5"/>
        <v>1.94960008518823E-2</v>
      </c>
    </row>
    <row r="91" spans="2:10" x14ac:dyDescent="0.35">
      <c r="B91" s="3">
        <v>45649</v>
      </c>
      <c r="C91" s="4">
        <v>134.52000000000001</v>
      </c>
      <c r="D91" s="4">
        <f t="shared" si="3"/>
        <v>2.3071494623545519E-3</v>
      </c>
      <c r="E91" s="3">
        <v>45649</v>
      </c>
      <c r="F91" s="4">
        <v>230.41</v>
      </c>
      <c r="G91" s="4">
        <f t="shared" si="4"/>
        <v>5.6437085003135934E-4</v>
      </c>
      <c r="H91" s="3">
        <v>45649</v>
      </c>
      <c r="I91" s="4">
        <v>392.45</v>
      </c>
      <c r="J91" s="4">
        <f t="shared" si="5"/>
        <v>-3.8214126953839411E-4</v>
      </c>
    </row>
    <row r="92" spans="2:10" x14ac:dyDescent="0.35">
      <c r="B92" s="3">
        <v>45650</v>
      </c>
      <c r="C92" s="4">
        <v>134.99</v>
      </c>
      <c r="D92" s="4">
        <f t="shared" si="3"/>
        <v>3.4878147486665512E-3</v>
      </c>
      <c r="E92" s="3">
        <v>45650</v>
      </c>
      <c r="F92" s="4">
        <v>231.57</v>
      </c>
      <c r="G92" s="4">
        <f t="shared" si="4"/>
        <v>5.0218729722315558E-3</v>
      </c>
      <c r="H92" s="3">
        <v>45650</v>
      </c>
      <c r="I92" s="4">
        <v>396.14</v>
      </c>
      <c r="J92" s="4">
        <f t="shared" si="5"/>
        <v>9.3585435562957286E-3</v>
      </c>
    </row>
    <row r="93" spans="2:10" x14ac:dyDescent="0.35">
      <c r="B93" s="3">
        <v>45652</v>
      </c>
      <c r="C93" s="4">
        <v>135.32</v>
      </c>
      <c r="D93" s="4">
        <f t="shared" si="3"/>
        <v>2.4416422917719061E-3</v>
      </c>
      <c r="E93" s="3">
        <v>45652</v>
      </c>
      <c r="F93" s="4">
        <v>232.62</v>
      </c>
      <c r="G93" s="4">
        <f t="shared" si="4"/>
        <v>4.5240172810210311E-3</v>
      </c>
      <c r="H93" s="3">
        <v>45652</v>
      </c>
      <c r="I93" s="4">
        <v>395.14</v>
      </c>
      <c r="J93" s="4">
        <f t="shared" si="5"/>
        <v>-2.5275516438592049E-3</v>
      </c>
    </row>
    <row r="94" spans="2:10" x14ac:dyDescent="0.35">
      <c r="B94" s="3">
        <v>45653</v>
      </c>
      <c r="C94" s="4">
        <v>133.38499999999999</v>
      </c>
      <c r="D94" s="4">
        <f t="shared" si="3"/>
        <v>-1.4402660531370515E-2</v>
      </c>
      <c r="E94" s="3">
        <v>45653</v>
      </c>
      <c r="F94" s="4">
        <v>229.55</v>
      </c>
      <c r="G94" s="4">
        <f t="shared" si="4"/>
        <v>-1.3285350215661573E-2</v>
      </c>
      <c r="H94" s="3">
        <v>45653</v>
      </c>
      <c r="I94" s="4">
        <v>392.86</v>
      </c>
      <c r="J94" s="4">
        <f t="shared" si="5"/>
        <v>-5.7868181791285167E-3</v>
      </c>
    </row>
    <row r="95" spans="2:10" x14ac:dyDescent="0.35">
      <c r="B95" s="3">
        <v>45656</v>
      </c>
      <c r="C95" s="4">
        <v>131.81</v>
      </c>
      <c r="D95" s="4">
        <f t="shared" si="3"/>
        <v>-1.1878191656762738E-2</v>
      </c>
      <c r="E95" s="3">
        <v>45656</v>
      </c>
      <c r="F95" s="4">
        <v>232.22</v>
      </c>
      <c r="G95" s="4">
        <f t="shared" si="4"/>
        <v>1.1564327503628569E-2</v>
      </c>
      <c r="H95" s="3">
        <v>45656</v>
      </c>
      <c r="I95" s="4">
        <v>389.43</v>
      </c>
      <c r="J95" s="4">
        <f t="shared" si="5"/>
        <v>-8.7691827331175531E-3</v>
      </c>
    </row>
    <row r="96" spans="2:10" x14ac:dyDescent="0.35">
      <c r="B96" s="3">
        <v>45657</v>
      </c>
      <c r="C96" s="4">
        <v>131.41</v>
      </c>
      <c r="D96" s="4">
        <f t="shared" si="3"/>
        <v>-3.0392850688274464E-3</v>
      </c>
      <c r="E96" s="3">
        <v>45657</v>
      </c>
      <c r="F96" s="4">
        <v>230.98</v>
      </c>
      <c r="G96" s="4">
        <f t="shared" si="4"/>
        <v>-5.3540715119186899E-3</v>
      </c>
      <c r="H96" s="3">
        <v>45657</v>
      </c>
      <c r="I96" s="4">
        <v>388.99</v>
      </c>
      <c r="J96" s="4">
        <f t="shared" si="5"/>
        <v>-1.130495225869943E-3</v>
      </c>
    </row>
    <row r="97" spans="2:10" x14ac:dyDescent="0.35">
      <c r="B97" s="3">
        <v>45659</v>
      </c>
      <c r="C97" s="4">
        <v>131.47999999999999</v>
      </c>
      <c r="D97" s="4">
        <f t="shared" si="3"/>
        <v>5.3254214047182558E-4</v>
      </c>
      <c r="E97" s="3">
        <v>45659</v>
      </c>
      <c r="F97" s="4">
        <v>231.56</v>
      </c>
      <c r="G97" s="4">
        <f t="shared" si="4"/>
        <v>2.5078925238624095E-3</v>
      </c>
      <c r="H97" s="3">
        <v>45659</v>
      </c>
      <c r="I97" s="4">
        <v>388.46</v>
      </c>
      <c r="J97" s="4">
        <f t="shared" si="5"/>
        <v>-1.3634319431563569E-3</v>
      </c>
    </row>
    <row r="98" spans="2:10" x14ac:dyDescent="0.35">
      <c r="B98" s="3">
        <v>45660</v>
      </c>
      <c r="C98" s="4">
        <v>135.71</v>
      </c>
      <c r="D98" s="4">
        <f t="shared" si="3"/>
        <v>3.1665507297260476E-2</v>
      </c>
      <c r="E98" s="3">
        <v>45660</v>
      </c>
      <c r="F98" s="4">
        <v>234.49</v>
      </c>
      <c r="G98" s="4">
        <f t="shared" si="4"/>
        <v>1.2573923843011592E-2</v>
      </c>
      <c r="H98" s="3">
        <v>45660</v>
      </c>
      <c r="I98" s="4">
        <v>389.18</v>
      </c>
      <c r="J98" s="4">
        <f t="shared" si="5"/>
        <v>1.8517571260234789E-3</v>
      </c>
    </row>
    <row r="99" spans="2:10" x14ac:dyDescent="0.35">
      <c r="B99" s="3">
        <v>45663</v>
      </c>
      <c r="C99" s="4">
        <v>135.19999999999999</v>
      </c>
      <c r="D99" s="4">
        <f t="shared" si="3"/>
        <v>-3.7650924844152556E-3</v>
      </c>
      <c r="E99" s="3">
        <v>45663</v>
      </c>
      <c r="F99" s="4">
        <v>242.96</v>
      </c>
      <c r="G99" s="4">
        <f t="shared" si="4"/>
        <v>3.5483877683677889E-2</v>
      </c>
      <c r="H99" s="3">
        <v>45663</v>
      </c>
      <c r="I99" s="4">
        <v>389.37</v>
      </c>
      <c r="J99" s="4">
        <f t="shared" si="5"/>
        <v>4.8808683776702111E-4</v>
      </c>
    </row>
    <row r="100" spans="2:10" x14ac:dyDescent="0.35">
      <c r="B100" s="3">
        <v>45664</v>
      </c>
      <c r="C100" s="4">
        <v>131.29</v>
      </c>
      <c r="D100" s="4">
        <f t="shared" si="3"/>
        <v>-2.9346546662845086E-2</v>
      </c>
      <c r="E100" s="3">
        <v>45664</v>
      </c>
      <c r="F100" s="4">
        <v>242.52</v>
      </c>
      <c r="G100" s="4">
        <f t="shared" si="4"/>
        <v>-1.8126395339628232E-3</v>
      </c>
      <c r="H100" s="3">
        <v>45664</v>
      </c>
      <c r="I100" s="4">
        <v>384.23</v>
      </c>
      <c r="J100" s="4">
        <f t="shared" si="5"/>
        <v>-1.3288716750666119E-2</v>
      </c>
    </row>
    <row r="101" spans="2:10" x14ac:dyDescent="0.35">
      <c r="B101" s="3">
        <v>45665</v>
      </c>
      <c r="C101" s="4">
        <v>130.80000000000001</v>
      </c>
      <c r="D101" s="4">
        <f t="shared" si="3"/>
        <v>-3.7391779229203337E-3</v>
      </c>
      <c r="E101" s="3">
        <v>45665</v>
      </c>
      <c r="F101" s="4">
        <v>243.05</v>
      </c>
      <c r="G101" s="4">
        <f t="shared" si="4"/>
        <v>2.1830022879338884E-3</v>
      </c>
      <c r="H101" s="3">
        <v>45665</v>
      </c>
      <c r="I101" s="4">
        <v>387.2</v>
      </c>
      <c r="J101" s="4">
        <f t="shared" si="5"/>
        <v>7.7000237853104281E-3</v>
      </c>
    </row>
    <row r="102" spans="2:10" x14ac:dyDescent="0.35">
      <c r="B102" s="3">
        <v>45667</v>
      </c>
      <c r="C102" s="4">
        <v>129.63</v>
      </c>
      <c r="D102" s="4">
        <f t="shared" si="3"/>
        <v>-8.9852004111472539E-3</v>
      </c>
      <c r="E102" s="3">
        <v>45667</v>
      </c>
      <c r="F102" s="4">
        <v>237.34</v>
      </c>
      <c r="G102" s="4">
        <f t="shared" si="4"/>
        <v>-2.3773471254471268E-2</v>
      </c>
      <c r="H102" s="3">
        <v>45667</v>
      </c>
      <c r="I102" s="4">
        <v>389.89</v>
      </c>
      <c r="J102" s="4">
        <f t="shared" si="5"/>
        <v>6.9232926552755814E-3</v>
      </c>
    </row>
    <row r="103" spans="2:10" x14ac:dyDescent="0.35">
      <c r="B103" s="3">
        <v>45670</v>
      </c>
      <c r="C103" s="4">
        <v>128.85</v>
      </c>
      <c r="D103" s="4">
        <f t="shared" si="3"/>
        <v>-6.0353015135774513E-3</v>
      </c>
      <c r="E103" s="3">
        <v>45670</v>
      </c>
      <c r="F103" s="4">
        <v>236.5</v>
      </c>
      <c r="G103" s="4">
        <f t="shared" si="4"/>
        <v>-3.5455043050047763E-3</v>
      </c>
      <c r="H103" s="3">
        <v>45670</v>
      </c>
      <c r="I103" s="4">
        <v>389.18</v>
      </c>
      <c r="J103" s="4">
        <f t="shared" si="5"/>
        <v>-1.822686527686912E-3</v>
      </c>
    </row>
    <row r="104" spans="2:10" x14ac:dyDescent="0.35">
      <c r="B104" s="3">
        <v>45671</v>
      </c>
      <c r="C104" s="4">
        <v>127.6</v>
      </c>
      <c r="D104" s="4">
        <f t="shared" si="3"/>
        <v>-9.7485661876843821E-3</v>
      </c>
      <c r="E104" s="3">
        <v>45671</v>
      </c>
      <c r="F104" s="4">
        <v>237.53</v>
      </c>
      <c r="G104" s="4">
        <f t="shared" si="4"/>
        <v>4.3457233550139307E-3</v>
      </c>
      <c r="H104" s="3">
        <v>45671</v>
      </c>
      <c r="I104" s="4">
        <v>392.78</v>
      </c>
      <c r="J104" s="4">
        <f t="shared" si="5"/>
        <v>9.2076971570662636E-3</v>
      </c>
    </row>
    <row r="105" spans="2:10" x14ac:dyDescent="0.35">
      <c r="B105" s="3">
        <v>45672</v>
      </c>
      <c r="C105" s="4">
        <v>132.52000000000001</v>
      </c>
      <c r="D105" s="4">
        <f t="shared" si="3"/>
        <v>3.7833206521005636E-2</v>
      </c>
      <c r="E105" s="3">
        <v>45672</v>
      </c>
      <c r="F105" s="4">
        <v>236.72</v>
      </c>
      <c r="G105" s="4">
        <f t="shared" si="4"/>
        <v>-3.4159231950479096E-3</v>
      </c>
      <c r="H105" s="3">
        <v>45672</v>
      </c>
      <c r="I105" s="4">
        <v>406.09</v>
      </c>
      <c r="J105" s="4">
        <f t="shared" si="5"/>
        <v>3.3325151225258587E-2</v>
      </c>
    </row>
    <row r="106" spans="2:10" x14ac:dyDescent="0.35">
      <c r="B106" s="3">
        <v>45673</v>
      </c>
      <c r="C106" s="4">
        <v>132.16</v>
      </c>
      <c r="D106" s="4">
        <f t="shared" si="3"/>
        <v>-2.720267659026554E-3</v>
      </c>
      <c r="E106" s="3">
        <v>45673</v>
      </c>
      <c r="F106" s="4">
        <v>237.72</v>
      </c>
      <c r="G106" s="4">
        <f t="shared" si="4"/>
        <v>4.2155024065060331E-3</v>
      </c>
      <c r="H106" s="3">
        <v>45673</v>
      </c>
      <c r="I106" s="4">
        <v>409.33</v>
      </c>
      <c r="J106" s="4">
        <f t="shared" si="5"/>
        <v>7.946866771010086E-3</v>
      </c>
    </row>
    <row r="107" spans="2:10" x14ac:dyDescent="0.35">
      <c r="B107" s="3">
        <v>45674</v>
      </c>
      <c r="C107" s="4">
        <v>135.12</v>
      </c>
      <c r="D107" s="4">
        <f t="shared" si="3"/>
        <v>2.2149962726876637E-2</v>
      </c>
      <c r="E107" s="3">
        <v>45674</v>
      </c>
      <c r="F107" s="4">
        <v>240.46</v>
      </c>
      <c r="G107" s="4">
        <f t="shared" si="4"/>
        <v>1.1460245048303008E-2</v>
      </c>
      <c r="H107" s="3">
        <v>45674</v>
      </c>
      <c r="I107" s="4">
        <v>409.38</v>
      </c>
      <c r="J107" s="4">
        <f t="shared" si="5"/>
        <v>1.2214337204241588E-4</v>
      </c>
    </row>
    <row r="108" spans="2:10" x14ac:dyDescent="0.35">
      <c r="B108" s="3">
        <v>45678</v>
      </c>
      <c r="C108" s="4">
        <v>133.07</v>
      </c>
      <c r="D108" s="4">
        <f t="shared" si="3"/>
        <v>-1.5287966943893672E-2</v>
      </c>
      <c r="E108" s="3">
        <v>45678</v>
      </c>
      <c r="F108" s="4">
        <v>247.73</v>
      </c>
      <c r="G108" s="4">
        <f t="shared" si="4"/>
        <v>2.978568786592195E-2</v>
      </c>
      <c r="H108" s="3">
        <v>45678</v>
      </c>
      <c r="I108" s="4">
        <v>418.43</v>
      </c>
      <c r="J108" s="4">
        <f t="shared" si="5"/>
        <v>2.1865791845721461E-2</v>
      </c>
    </row>
    <row r="109" spans="2:10" x14ac:dyDescent="0.35">
      <c r="B109" s="3">
        <v>45679</v>
      </c>
      <c r="C109" s="4">
        <v>132.5</v>
      </c>
      <c r="D109" s="4">
        <f t="shared" si="3"/>
        <v>-4.2926601293746813E-3</v>
      </c>
      <c r="E109" s="3">
        <v>45679</v>
      </c>
      <c r="F109" s="4">
        <v>250.42</v>
      </c>
      <c r="G109" s="4">
        <f t="shared" si="4"/>
        <v>1.0800064828116795E-2</v>
      </c>
      <c r="H109" s="3">
        <v>45679</v>
      </c>
      <c r="I109" s="4">
        <v>410.1</v>
      </c>
      <c r="J109" s="4">
        <f t="shared" si="5"/>
        <v>-2.0108579503095747E-2</v>
      </c>
    </row>
    <row r="110" spans="2:10" x14ac:dyDescent="0.35">
      <c r="B110" s="3">
        <v>45680</v>
      </c>
      <c r="C110" s="4">
        <v>133.24</v>
      </c>
      <c r="D110" s="4">
        <f t="shared" si="3"/>
        <v>5.5693678992021489E-3</v>
      </c>
      <c r="E110" s="3">
        <v>45680</v>
      </c>
      <c r="F110" s="4">
        <v>256.52</v>
      </c>
      <c r="G110" s="4">
        <f t="shared" si="4"/>
        <v>2.4067126039859943E-2</v>
      </c>
      <c r="H110" s="3">
        <v>45680</v>
      </c>
      <c r="I110" s="4">
        <v>414.39</v>
      </c>
      <c r="J110" s="4">
        <f t="shared" si="5"/>
        <v>1.0406526981964426E-2</v>
      </c>
    </row>
    <row r="111" spans="2:10" x14ac:dyDescent="0.35">
      <c r="B111" s="3">
        <v>45681</v>
      </c>
      <c r="C111" s="4">
        <v>127.09</v>
      </c>
      <c r="D111" s="4">
        <f t="shared" si="3"/>
        <v>-4.7256516431499307E-2</v>
      </c>
      <c r="E111" s="3">
        <v>45681</v>
      </c>
      <c r="F111" s="4">
        <v>256</v>
      </c>
      <c r="G111" s="4">
        <f t="shared" si="4"/>
        <v>-2.0291898010995624E-3</v>
      </c>
      <c r="H111" s="3">
        <v>45681</v>
      </c>
      <c r="I111" s="4">
        <v>414.5</v>
      </c>
      <c r="J111" s="4">
        <f t="shared" si="5"/>
        <v>2.6541519537204294E-4</v>
      </c>
    </row>
    <row r="112" spans="2:10" x14ac:dyDescent="0.35">
      <c r="B112" s="3">
        <v>45684</v>
      </c>
      <c r="C112" s="4">
        <v>128.96</v>
      </c>
      <c r="D112" s="4">
        <f t="shared" si="3"/>
        <v>1.4606781864339169E-2</v>
      </c>
      <c r="E112" s="3">
        <v>45684</v>
      </c>
      <c r="F112" s="4">
        <v>247.71</v>
      </c>
      <c r="G112" s="4">
        <f t="shared" si="4"/>
        <v>-3.2918737382115815E-2</v>
      </c>
      <c r="H112" s="3">
        <v>45684</v>
      </c>
      <c r="I112" s="4">
        <v>424.87</v>
      </c>
      <c r="J112" s="4">
        <f t="shared" si="5"/>
        <v>2.4710265204577198E-2</v>
      </c>
    </row>
    <row r="113" spans="2:10" x14ac:dyDescent="0.35">
      <c r="B113" s="3">
        <v>45685</v>
      </c>
      <c r="C113" s="4">
        <v>131.05000000000001</v>
      </c>
      <c r="D113" s="4">
        <f t="shared" si="3"/>
        <v>1.6076651011096565E-2</v>
      </c>
      <c r="E113" s="3">
        <v>45685</v>
      </c>
      <c r="F113" s="4">
        <v>257.45</v>
      </c>
      <c r="G113" s="4">
        <f t="shared" si="4"/>
        <v>3.8566819394703522E-2</v>
      </c>
      <c r="H113" s="3">
        <v>45685</v>
      </c>
      <c r="I113" s="4">
        <v>418.83</v>
      </c>
      <c r="J113" s="4">
        <f t="shared" si="5"/>
        <v>-1.4318130111260707E-2</v>
      </c>
    </row>
    <row r="114" spans="2:10" x14ac:dyDescent="0.35">
      <c r="B114" s="3">
        <v>45686</v>
      </c>
      <c r="C114" s="4">
        <v>132.58000000000001</v>
      </c>
      <c r="D114" s="4">
        <f t="shared" si="3"/>
        <v>1.1607307043830062E-2</v>
      </c>
      <c r="E114" s="3">
        <v>45686</v>
      </c>
      <c r="F114" s="4">
        <v>256.81</v>
      </c>
      <c r="G114" s="4">
        <f t="shared" si="4"/>
        <v>-2.4890146245484246E-3</v>
      </c>
      <c r="H114" s="3">
        <v>45686</v>
      </c>
      <c r="I114" s="4">
        <v>413.42</v>
      </c>
      <c r="J114" s="4">
        <f t="shared" si="5"/>
        <v>-1.3001084297576071E-2</v>
      </c>
    </row>
    <row r="115" spans="2:10" x14ac:dyDescent="0.35">
      <c r="B115" s="3">
        <v>45687</v>
      </c>
      <c r="C115" s="4">
        <v>131.79</v>
      </c>
      <c r="D115" s="4">
        <f t="shared" si="3"/>
        <v>-5.9764901574475005E-3</v>
      </c>
      <c r="E115" s="3">
        <v>45687</v>
      </c>
      <c r="F115" s="4">
        <v>258.5</v>
      </c>
      <c r="G115" s="4">
        <f t="shared" si="4"/>
        <v>6.5591820808821311E-3</v>
      </c>
      <c r="H115" s="3">
        <v>45687</v>
      </c>
      <c r="I115" s="4">
        <v>414.5</v>
      </c>
      <c r="J115" s="4">
        <f t="shared" si="5"/>
        <v>2.6089492042595808E-3</v>
      </c>
    </row>
    <row r="116" spans="2:10" x14ac:dyDescent="0.35">
      <c r="B116" s="3">
        <v>45688</v>
      </c>
      <c r="C116" s="4">
        <v>131.16999999999999</v>
      </c>
      <c r="D116" s="4">
        <f t="shared" si="3"/>
        <v>-4.715554828743862E-3</v>
      </c>
      <c r="E116" s="3">
        <v>45688</v>
      </c>
      <c r="F116" s="4">
        <v>249.7</v>
      </c>
      <c r="G116" s="4">
        <f t="shared" si="4"/>
        <v>-3.4635496662756005E-2</v>
      </c>
      <c r="H116" s="3">
        <v>45688</v>
      </c>
      <c r="I116" s="4">
        <v>411.98</v>
      </c>
      <c r="J116" s="4">
        <f t="shared" si="5"/>
        <v>-6.0981700934270577E-3</v>
      </c>
    </row>
    <row r="117" spans="2:10" x14ac:dyDescent="0.35">
      <c r="B117" s="3">
        <v>45691</v>
      </c>
      <c r="C117" s="4">
        <v>129.78</v>
      </c>
      <c r="D117" s="4">
        <f t="shared" si="3"/>
        <v>-1.0653482634031874E-2</v>
      </c>
      <c r="E117" s="3">
        <v>45691</v>
      </c>
      <c r="F117" s="4">
        <v>246</v>
      </c>
      <c r="G117" s="4">
        <f t="shared" si="4"/>
        <v>-1.4928661353365236E-2</v>
      </c>
      <c r="H117" s="3">
        <v>45691</v>
      </c>
      <c r="I117" s="4">
        <v>408.76</v>
      </c>
      <c r="J117" s="4">
        <f t="shared" si="5"/>
        <v>-7.8466177379139523E-3</v>
      </c>
    </row>
    <row r="118" spans="2:10" x14ac:dyDescent="0.35">
      <c r="B118" s="3">
        <v>45692</v>
      </c>
      <c r="C118" s="4">
        <v>130.74</v>
      </c>
      <c r="D118" s="4">
        <f t="shared" si="3"/>
        <v>7.3699089915617577E-3</v>
      </c>
      <c r="E118" s="3">
        <v>45692</v>
      </c>
      <c r="F118" s="4">
        <v>246.85</v>
      </c>
      <c r="G118" s="4">
        <f t="shared" si="4"/>
        <v>3.4493287725094746E-3</v>
      </c>
      <c r="H118" s="3">
        <v>45692</v>
      </c>
      <c r="I118" s="4">
        <v>411.49</v>
      </c>
      <c r="J118" s="4">
        <f t="shared" si="5"/>
        <v>6.656531741260352E-3</v>
      </c>
    </row>
    <row r="119" spans="2:10" x14ac:dyDescent="0.35">
      <c r="B119" s="3">
        <v>45693</v>
      </c>
      <c r="C119" s="4">
        <v>129.6</v>
      </c>
      <c r="D119" s="4">
        <f t="shared" si="3"/>
        <v>-8.7578342664098585E-3</v>
      </c>
      <c r="E119" s="3">
        <v>45693</v>
      </c>
      <c r="F119" s="4">
        <v>249</v>
      </c>
      <c r="G119" s="4">
        <f t="shared" si="4"/>
        <v>8.6720317598354413E-3</v>
      </c>
      <c r="H119" s="3">
        <v>45693</v>
      </c>
      <c r="I119" s="4">
        <v>413.82</v>
      </c>
      <c r="J119" s="4">
        <f t="shared" si="5"/>
        <v>5.6463781859861228E-3</v>
      </c>
    </row>
    <row r="120" spans="2:10" x14ac:dyDescent="0.35">
      <c r="B120" s="3">
        <v>45694</v>
      </c>
      <c r="C120" s="4">
        <v>132.57</v>
      </c>
      <c r="D120" s="4">
        <f t="shared" si="3"/>
        <v>2.2658023892584644E-2</v>
      </c>
      <c r="E120" s="3">
        <v>45694</v>
      </c>
      <c r="F120" s="4">
        <v>273.14</v>
      </c>
      <c r="G120" s="4">
        <f t="shared" si="4"/>
        <v>9.2531587785571467E-2</v>
      </c>
      <c r="H120" s="3">
        <v>45694</v>
      </c>
      <c r="I120" s="4">
        <v>414.16</v>
      </c>
      <c r="J120" s="4">
        <f t="shared" si="5"/>
        <v>8.2127592239089608E-4</v>
      </c>
    </row>
    <row r="121" spans="2:10" x14ac:dyDescent="0.35">
      <c r="B121" s="3">
        <v>45695</v>
      </c>
      <c r="C121" s="4">
        <v>134.97999999999999</v>
      </c>
      <c r="D121" s="4">
        <f t="shared" si="3"/>
        <v>1.8015811504501933E-2</v>
      </c>
      <c r="E121" s="3">
        <v>45695</v>
      </c>
      <c r="F121" s="4">
        <v>268.95</v>
      </c>
      <c r="G121" s="4">
        <f t="shared" si="4"/>
        <v>-1.5458995531027142E-2</v>
      </c>
      <c r="H121" s="3">
        <v>45695</v>
      </c>
      <c r="I121" s="4">
        <v>407.37</v>
      </c>
      <c r="J121" s="4">
        <f t="shared" si="5"/>
        <v>-1.6530509214833344E-2</v>
      </c>
    </row>
    <row r="122" spans="2:10" x14ac:dyDescent="0.35">
      <c r="B122" s="3">
        <v>45698</v>
      </c>
      <c r="C122" s="4">
        <v>135.24</v>
      </c>
      <c r="D122" s="4">
        <f t="shared" si="3"/>
        <v>1.9243585244250738E-3</v>
      </c>
      <c r="E122" s="3">
        <v>45698</v>
      </c>
      <c r="F122" s="4">
        <v>268.55</v>
      </c>
      <c r="G122" s="4">
        <f t="shared" si="4"/>
        <v>-1.4883723677829863E-3</v>
      </c>
      <c r="H122" s="3">
        <v>45698</v>
      </c>
      <c r="I122" s="4">
        <v>413.99</v>
      </c>
      <c r="J122" s="4">
        <f t="shared" si="5"/>
        <v>1.6119955565402577E-2</v>
      </c>
    </row>
    <row r="123" spans="2:10" x14ac:dyDescent="0.35">
      <c r="B123" s="3">
        <v>45699</v>
      </c>
      <c r="C123" s="4">
        <v>134.52000000000001</v>
      </c>
      <c r="D123" s="4">
        <f t="shared" si="3"/>
        <v>-5.3380909676166155E-3</v>
      </c>
      <c r="E123" s="3">
        <v>45699</v>
      </c>
      <c r="F123" s="4">
        <v>272.17</v>
      </c>
      <c r="G123" s="4">
        <f t="shared" si="4"/>
        <v>1.3389754713371005E-2</v>
      </c>
      <c r="H123" s="3">
        <v>45699</v>
      </c>
      <c r="I123" s="4">
        <v>416.36</v>
      </c>
      <c r="J123" s="4">
        <f t="shared" si="5"/>
        <v>5.7084517030521198E-3</v>
      </c>
    </row>
    <row r="124" spans="2:10" x14ac:dyDescent="0.35">
      <c r="B124" s="3">
        <v>45700</v>
      </c>
      <c r="C124" s="4">
        <v>140.52000000000001</v>
      </c>
      <c r="D124" s="4">
        <f t="shared" si="3"/>
        <v>4.3636940525557222E-2</v>
      </c>
      <c r="E124" s="3">
        <v>45700</v>
      </c>
      <c r="F124" s="4">
        <v>273.01</v>
      </c>
      <c r="G124" s="4">
        <f t="shared" si="4"/>
        <v>3.0815534858863458E-3</v>
      </c>
      <c r="H124" s="3">
        <v>45700</v>
      </c>
      <c r="I124" s="4">
        <v>407.14</v>
      </c>
      <c r="J124" s="4">
        <f t="shared" si="5"/>
        <v>-2.2393164008366995E-2</v>
      </c>
    </row>
    <row r="125" spans="2:10" x14ac:dyDescent="0.35">
      <c r="B125" s="3">
        <v>45701</v>
      </c>
      <c r="C125" s="4">
        <v>141.04</v>
      </c>
      <c r="D125" s="4">
        <f t="shared" si="3"/>
        <v>3.6937106919889828E-3</v>
      </c>
      <c r="E125" s="3">
        <v>45701</v>
      </c>
      <c r="F125" s="4">
        <v>278.52999999999997</v>
      </c>
      <c r="G125" s="4">
        <f t="shared" si="4"/>
        <v>2.0017348943424551E-2</v>
      </c>
      <c r="H125" s="3">
        <v>45701</v>
      </c>
      <c r="I125" s="4">
        <v>412.43</v>
      </c>
      <c r="J125" s="4">
        <f t="shared" si="5"/>
        <v>1.2909387765978053E-2</v>
      </c>
    </row>
    <row r="126" spans="2:10" x14ac:dyDescent="0.35">
      <c r="B126" s="3">
        <v>45702</v>
      </c>
      <c r="C126" s="4">
        <v>161.41999999999999</v>
      </c>
      <c r="D126" s="4">
        <f t="shared" si="3"/>
        <v>0.13496612580661083</v>
      </c>
      <c r="E126" s="3">
        <v>45702</v>
      </c>
      <c r="F126" s="4">
        <v>282.63</v>
      </c>
      <c r="G126" s="4">
        <f t="shared" si="4"/>
        <v>1.4612848234535569E-2</v>
      </c>
      <c r="H126" s="3">
        <v>45702</v>
      </c>
      <c r="I126" s="4">
        <v>409.5</v>
      </c>
      <c r="J126" s="4">
        <f t="shared" si="5"/>
        <v>-7.1295911117541522E-3</v>
      </c>
    </row>
    <row r="127" spans="2:10" x14ac:dyDescent="0.35">
      <c r="B127" s="3">
        <v>45706</v>
      </c>
      <c r="C127" s="4">
        <v>160.6</v>
      </c>
      <c r="D127" s="4">
        <f t="shared" si="3"/>
        <v>-5.0928623835648779E-3</v>
      </c>
      <c r="E127" s="3">
        <v>45706</v>
      </c>
      <c r="F127" s="4">
        <v>286.74</v>
      </c>
      <c r="G127" s="4">
        <f t="shared" si="4"/>
        <v>1.4437260089435355E-2</v>
      </c>
      <c r="H127" s="3">
        <v>45706</v>
      </c>
      <c r="I127" s="4">
        <v>403.31</v>
      </c>
      <c r="J127" s="4">
        <f t="shared" si="5"/>
        <v>-1.523140628356412E-2</v>
      </c>
    </row>
    <row r="128" spans="2:10" x14ac:dyDescent="0.35">
      <c r="B128" s="3">
        <v>45707</v>
      </c>
      <c r="C128" s="4">
        <v>157.97999999999999</v>
      </c>
      <c r="D128" s="4">
        <f t="shared" si="3"/>
        <v>-1.6448358776387728E-2</v>
      </c>
      <c r="E128" s="3">
        <v>45707</v>
      </c>
      <c r="F128" s="4">
        <v>286.44</v>
      </c>
      <c r="G128" s="4">
        <f t="shared" si="4"/>
        <v>-1.046791679382153E-3</v>
      </c>
      <c r="H128" s="3">
        <v>45707</v>
      </c>
      <c r="I128" s="4">
        <v>395.43</v>
      </c>
      <c r="J128" s="4">
        <f t="shared" si="5"/>
        <v>-1.9731716617076067E-2</v>
      </c>
    </row>
    <row r="129" spans="2:10" x14ac:dyDescent="0.35">
      <c r="B129" s="3">
        <v>45708</v>
      </c>
      <c r="C129" s="4">
        <v>155.31</v>
      </c>
      <c r="D129" s="4">
        <f t="shared" si="3"/>
        <v>-1.7045323154353476E-2</v>
      </c>
      <c r="E129" s="3">
        <v>45708</v>
      </c>
      <c r="F129" s="4">
        <v>286.5</v>
      </c>
      <c r="G129" s="4">
        <f t="shared" si="4"/>
        <v>2.0944601605510371E-4</v>
      </c>
      <c r="H129" s="3">
        <v>45708</v>
      </c>
      <c r="I129" s="4">
        <v>394.64</v>
      </c>
      <c r="J129" s="4">
        <f t="shared" si="5"/>
        <v>-1.9998234670017823E-3</v>
      </c>
    </row>
  </sheetData>
  <mergeCells count="5">
    <mergeCell ref="B2:D2"/>
    <mergeCell ref="E2:G2"/>
    <mergeCell ref="H2:J2"/>
    <mergeCell ref="M6:N6"/>
    <mergeCell ref="L23:O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00D27-C113-42F1-9858-C6C30A2FA0DF}">
  <sheetPr codeName="Sheet2"/>
  <dimension ref="B2:N129"/>
  <sheetViews>
    <sheetView tabSelected="1" zoomScale="66" workbookViewId="0">
      <selection activeCell="N21" sqref="N21"/>
    </sheetView>
  </sheetViews>
  <sheetFormatPr defaultRowHeight="14.5" x14ac:dyDescent="0.35"/>
  <cols>
    <col min="2" max="2" width="10.08984375" bestFit="1" customWidth="1"/>
    <col min="3" max="3" width="8.90625" bestFit="1" customWidth="1"/>
    <col min="4" max="4" width="19.7265625" bestFit="1" customWidth="1"/>
    <col min="5" max="5" width="10.08984375" bestFit="1" customWidth="1"/>
    <col min="7" max="7" width="26.26953125" bestFit="1" customWidth="1"/>
    <col min="8" max="8" width="5.36328125" customWidth="1"/>
    <col min="9" max="9" width="11.08984375" bestFit="1" customWidth="1"/>
    <col min="10" max="10" width="27.08984375" style="5" bestFit="1" customWidth="1"/>
    <col min="11" max="11" width="20.81640625" style="5" bestFit="1" customWidth="1"/>
    <col min="12" max="12" width="18.08984375" style="5" bestFit="1" customWidth="1"/>
    <col min="13" max="13" width="12.36328125" style="5" bestFit="1" customWidth="1"/>
    <col min="14" max="14" width="14.1796875" style="5" bestFit="1" customWidth="1"/>
  </cols>
  <sheetData>
    <row r="2" spans="2:14" x14ac:dyDescent="0.35">
      <c r="B2" s="12" t="s">
        <v>0</v>
      </c>
      <c r="C2" s="13"/>
      <c r="D2" s="14"/>
      <c r="E2" s="12" t="s">
        <v>7</v>
      </c>
      <c r="F2" s="13"/>
      <c r="G2" s="14"/>
      <c r="H2" s="8"/>
      <c r="I2" s="9" t="s">
        <v>32</v>
      </c>
      <c r="J2" s="1" t="s">
        <v>9</v>
      </c>
      <c r="K2" s="1" t="s">
        <v>13</v>
      </c>
      <c r="L2" s="1" t="s">
        <v>10</v>
      </c>
      <c r="M2" s="1" t="s">
        <v>16</v>
      </c>
      <c r="N2" s="1" t="s">
        <v>22</v>
      </c>
    </row>
    <row r="3" spans="2:14" x14ac:dyDescent="0.35">
      <c r="B3" s="1" t="s">
        <v>1</v>
      </c>
      <c r="C3" s="1" t="s">
        <v>2</v>
      </c>
      <c r="D3" s="2" t="s">
        <v>3</v>
      </c>
      <c r="E3" s="1" t="s">
        <v>1</v>
      </c>
      <c r="F3" s="1" t="s">
        <v>5</v>
      </c>
      <c r="G3" s="2" t="s">
        <v>8</v>
      </c>
      <c r="H3" s="8"/>
      <c r="J3" s="1" t="s">
        <v>11</v>
      </c>
      <c r="K3" s="7">
        <f>AVERAGE(D4:D129)*252</f>
        <v>0.56449327425469098</v>
      </c>
      <c r="L3" s="10">
        <f>_xlfn.STDEV.S(D4:D129)*SQRT(252)</f>
        <v>0.35840278363580325</v>
      </c>
      <c r="M3" s="20">
        <f>CORREL(D4:D129,G4:G129)</f>
        <v>0.10089744730992896</v>
      </c>
      <c r="N3" s="21">
        <v>4.3099999999999999E-2</v>
      </c>
    </row>
    <row r="4" spans="2:14" x14ac:dyDescent="0.35">
      <c r="B4" s="3">
        <v>45524</v>
      </c>
      <c r="C4" s="4">
        <v>117.38</v>
      </c>
      <c r="D4" s="4"/>
      <c r="E4" s="3">
        <v>45524</v>
      </c>
      <c r="F4" s="4">
        <v>367.27</v>
      </c>
      <c r="G4" s="4"/>
      <c r="H4" s="5"/>
      <c r="J4" s="1" t="s">
        <v>37</v>
      </c>
      <c r="K4" s="7">
        <f>AVERAGE(G4:G129)*252</f>
        <v>0.14490339603022512</v>
      </c>
      <c r="L4" s="10">
        <f>_xlfn.STDEV.S(G4:G129)*SQRT(252)</f>
        <v>0.19880486114473403</v>
      </c>
      <c r="M4" s="20"/>
      <c r="N4" s="21"/>
    </row>
    <row r="5" spans="2:14" x14ac:dyDescent="0.35">
      <c r="B5" s="3">
        <v>45525</v>
      </c>
      <c r="C5" s="4">
        <v>117.68</v>
      </c>
      <c r="D5" s="4">
        <f>LN(C5)-LN(C4)</f>
        <v>2.552541162994082E-3</v>
      </c>
      <c r="E5" s="3">
        <v>45525</v>
      </c>
      <c r="F5" s="4">
        <v>370.46</v>
      </c>
      <c r="G5" s="4">
        <f>LN(F5)-LN(F4)</f>
        <v>8.6482043078968118E-3</v>
      </c>
      <c r="H5" s="5"/>
    </row>
    <row r="6" spans="2:14" x14ac:dyDescent="0.35">
      <c r="B6" s="3">
        <v>45526</v>
      </c>
      <c r="C6" s="4">
        <v>115.45</v>
      </c>
      <c r="D6" s="4">
        <f t="shared" ref="D6:D69" si="0">LN(C6)-LN(C5)</f>
        <v>-1.9131540492677956E-2</v>
      </c>
      <c r="E6" s="3">
        <v>45526</v>
      </c>
      <c r="F6" s="4">
        <v>365.36</v>
      </c>
      <c r="G6" s="4">
        <f t="shared" ref="G6:G69" si="1">LN(F6)-LN(F5)</f>
        <v>-1.386230781783393E-2</v>
      </c>
      <c r="H6" s="5"/>
      <c r="J6" s="1" t="s">
        <v>17</v>
      </c>
      <c r="K6" s="1" t="s">
        <v>11</v>
      </c>
      <c r="L6" s="1" t="s">
        <v>37</v>
      </c>
    </row>
    <row r="7" spans="2:14" x14ac:dyDescent="0.35">
      <c r="B7" s="3">
        <v>45527</v>
      </c>
      <c r="C7" s="4">
        <v>116.85</v>
      </c>
      <c r="D7" s="4">
        <f t="shared" si="0"/>
        <v>1.2053525184362535E-2</v>
      </c>
      <c r="E7" s="3">
        <v>45527</v>
      </c>
      <c r="F7" s="4">
        <v>375.59</v>
      </c>
      <c r="G7" s="4">
        <f t="shared" si="1"/>
        <v>2.7614954034779871E-2</v>
      </c>
      <c r="H7" s="5"/>
      <c r="J7" s="1" t="s">
        <v>11</v>
      </c>
      <c r="K7" s="4">
        <f>L3^2</f>
        <v>0.1284525553178924</v>
      </c>
      <c r="L7" s="4">
        <f>M3*L3*L4</f>
        <v>7.189166672707953E-3</v>
      </c>
    </row>
    <row r="8" spans="2:14" x14ac:dyDescent="0.35">
      <c r="B8" s="3">
        <v>45530</v>
      </c>
      <c r="C8" s="4">
        <v>115.71</v>
      </c>
      <c r="D8" s="4">
        <f t="shared" si="0"/>
        <v>-9.8040000966204133E-3</v>
      </c>
      <c r="E8" s="3">
        <v>45530</v>
      </c>
      <c r="F8" s="4">
        <v>374.11</v>
      </c>
      <c r="G8" s="4">
        <f t="shared" si="1"/>
        <v>-3.9482510940480608E-3</v>
      </c>
      <c r="H8" s="5"/>
      <c r="J8" s="1" t="s">
        <v>14</v>
      </c>
      <c r="K8" s="4">
        <f>L7</f>
        <v>7.189166672707953E-3</v>
      </c>
      <c r="L8" s="4">
        <f>L4^2</f>
        <v>3.9523372814776976E-2</v>
      </c>
    </row>
    <row r="9" spans="2:14" x14ac:dyDescent="0.35">
      <c r="B9" s="3">
        <v>45531</v>
      </c>
      <c r="C9" s="4">
        <v>116.74</v>
      </c>
      <c r="D9" s="4">
        <f t="shared" si="0"/>
        <v>8.8621788873988194E-3</v>
      </c>
      <c r="E9" s="3">
        <v>45531</v>
      </c>
      <c r="F9" s="4">
        <v>373.18</v>
      </c>
      <c r="G9" s="4">
        <f t="shared" si="1"/>
        <v>-2.4889948483721724E-3</v>
      </c>
      <c r="H9" s="5"/>
    </row>
    <row r="10" spans="2:14" x14ac:dyDescent="0.35">
      <c r="B10" s="3">
        <v>45532</v>
      </c>
      <c r="C10" s="4">
        <v>117.53</v>
      </c>
      <c r="D10" s="4">
        <f t="shared" si="0"/>
        <v>6.7443803691178417E-3</v>
      </c>
      <c r="E10" s="3">
        <v>45532</v>
      </c>
      <c r="F10" s="4">
        <v>372.69</v>
      </c>
      <c r="G10" s="4">
        <f t="shared" si="1"/>
        <v>-1.3139020754078246E-3</v>
      </c>
      <c r="H10" s="5"/>
      <c r="J10" s="1" t="s">
        <v>18</v>
      </c>
      <c r="K10" s="1" t="s">
        <v>11</v>
      </c>
      <c r="L10" s="1" t="s">
        <v>14</v>
      </c>
    </row>
    <row r="11" spans="2:14" x14ac:dyDescent="0.35">
      <c r="B11" s="3">
        <v>45533</v>
      </c>
      <c r="C11" s="4">
        <v>116.6</v>
      </c>
      <c r="D11" s="4">
        <f t="shared" si="0"/>
        <v>-7.9443462283714794E-3</v>
      </c>
      <c r="E11" s="3">
        <v>45533</v>
      </c>
      <c r="F11" s="4">
        <v>367.06</v>
      </c>
      <c r="G11" s="4">
        <f t="shared" si="1"/>
        <v>-1.522165246336904E-2</v>
      </c>
      <c r="H11" s="5"/>
      <c r="J11" s="1" t="s">
        <v>11</v>
      </c>
      <c r="K11" s="4" cm="1">
        <f t="array" ref="K11:L12">MINVERSE(K7:L8)</f>
        <v>7.8650439977471516</v>
      </c>
      <c r="L11" s="4">
        <v>-1.4306246699382204</v>
      </c>
    </row>
    <row r="12" spans="2:14" x14ac:dyDescent="0.35">
      <c r="B12" s="3">
        <v>45534</v>
      </c>
      <c r="C12" s="4">
        <v>117.31</v>
      </c>
      <c r="D12" s="4">
        <f t="shared" si="0"/>
        <v>6.0707296012374456E-3</v>
      </c>
      <c r="E12" s="3">
        <v>45534</v>
      </c>
      <c r="F12" s="4">
        <v>368.5</v>
      </c>
      <c r="G12" s="4">
        <f t="shared" si="1"/>
        <v>3.9153891990650891E-3</v>
      </c>
      <c r="H12" s="5"/>
      <c r="J12" s="1" t="s">
        <v>14</v>
      </c>
      <c r="K12" s="4">
        <v>-1.4306246699382206</v>
      </c>
      <c r="L12" s="4">
        <v>25.561710128659588</v>
      </c>
    </row>
    <row r="13" spans="2:14" x14ac:dyDescent="0.35">
      <c r="B13" s="3">
        <v>45538</v>
      </c>
      <c r="C13" s="4">
        <v>114.98</v>
      </c>
      <c r="D13" s="4">
        <f t="shared" si="0"/>
        <v>-2.0061803322484195E-2</v>
      </c>
      <c r="E13" s="3">
        <v>45538</v>
      </c>
      <c r="F13" s="4">
        <v>364.74</v>
      </c>
      <c r="G13" s="4">
        <f t="shared" si="1"/>
        <v>-1.0255940640704786E-2</v>
      </c>
      <c r="H13" s="5"/>
    </row>
    <row r="14" spans="2:14" x14ac:dyDescent="0.35">
      <c r="B14" s="3">
        <v>45539</v>
      </c>
      <c r="C14" s="4">
        <v>115.21</v>
      </c>
      <c r="D14" s="4">
        <f t="shared" si="0"/>
        <v>1.9983498548175049E-3</v>
      </c>
      <c r="E14" s="3">
        <v>45539</v>
      </c>
      <c r="F14" s="4">
        <v>364.67</v>
      </c>
      <c r="G14" s="4">
        <f t="shared" si="1"/>
        <v>-1.919359488216088E-4</v>
      </c>
      <c r="H14" s="5"/>
      <c r="J14" s="1" t="s">
        <v>23</v>
      </c>
      <c r="K14" s="4">
        <f>K3-N3</f>
        <v>0.52139327425469095</v>
      </c>
    </row>
    <row r="15" spans="2:14" x14ac:dyDescent="0.35">
      <c r="B15" s="3">
        <v>45540</v>
      </c>
      <c r="C15" s="4">
        <v>116.16</v>
      </c>
      <c r="D15" s="4">
        <f t="shared" si="0"/>
        <v>8.2120010265231969E-3</v>
      </c>
      <c r="E15" s="3">
        <v>45540</v>
      </c>
      <c r="F15" s="4">
        <v>361.85</v>
      </c>
      <c r="G15" s="4">
        <f t="shared" si="1"/>
        <v>-7.7630737277276651E-3</v>
      </c>
      <c r="H15" s="5"/>
      <c r="J15" s="1" t="s">
        <v>38</v>
      </c>
      <c r="K15" s="4">
        <f>K4-N3</f>
        <v>0.10180339603022512</v>
      </c>
    </row>
    <row r="16" spans="2:14" x14ac:dyDescent="0.35">
      <c r="B16" s="3">
        <v>45541</v>
      </c>
      <c r="C16" s="4">
        <v>114.28</v>
      </c>
      <c r="D16" s="4">
        <f t="shared" si="0"/>
        <v>-1.6316973713913718E-2</v>
      </c>
      <c r="E16" s="3">
        <v>45541</v>
      </c>
      <c r="F16" s="4">
        <v>360.05</v>
      </c>
      <c r="G16" s="4">
        <f t="shared" si="1"/>
        <v>-4.9868506172607852E-3</v>
      </c>
      <c r="H16" s="5"/>
    </row>
    <row r="17" spans="2:12" x14ac:dyDescent="0.35">
      <c r="B17" s="3">
        <v>45544</v>
      </c>
      <c r="C17" s="4">
        <v>116.36</v>
      </c>
      <c r="D17" s="4">
        <f t="shared" si="0"/>
        <v>1.8037256264428869E-2</v>
      </c>
      <c r="E17" s="3">
        <v>45544</v>
      </c>
      <c r="F17" s="4">
        <v>365.52</v>
      </c>
      <c r="G17" s="4">
        <f t="shared" si="1"/>
        <v>1.5078086560139425E-2</v>
      </c>
      <c r="H17" s="5"/>
      <c r="J17" s="18" t="s">
        <v>24</v>
      </c>
      <c r="K17" s="4">
        <f>K11*K14+L11*K15</f>
        <v>3.9551385922982605</v>
      </c>
      <c r="L17" s="4">
        <f>K17/(K17+K18)</f>
        <v>0.68057227892660899</v>
      </c>
    </row>
    <row r="18" spans="2:12" x14ac:dyDescent="0.35">
      <c r="B18" s="3">
        <v>45545</v>
      </c>
      <c r="C18" s="4">
        <v>115.12</v>
      </c>
      <c r="D18" s="4">
        <f t="shared" si="0"/>
        <v>-1.0713771047888621E-2</v>
      </c>
      <c r="E18" s="3">
        <v>45545</v>
      </c>
      <c r="F18" s="4">
        <v>370.87</v>
      </c>
      <c r="G18" s="4">
        <f t="shared" si="1"/>
        <v>1.45305996338152E-2</v>
      </c>
      <c r="H18" s="5"/>
      <c r="J18" s="19"/>
      <c r="K18" s="4">
        <f>K12*K14+L12*K15</f>
        <v>1.8563508185491235</v>
      </c>
      <c r="L18" s="4">
        <f>1-L17</f>
        <v>0.31942772107339101</v>
      </c>
    </row>
    <row r="19" spans="2:12" x14ac:dyDescent="0.35">
      <c r="B19" s="3">
        <v>45546</v>
      </c>
      <c r="C19" s="4">
        <v>115.96</v>
      </c>
      <c r="D19" s="4">
        <f t="shared" si="0"/>
        <v>7.2702414743428534E-3</v>
      </c>
      <c r="E19" s="3">
        <v>45546</v>
      </c>
      <c r="F19" s="4">
        <v>370.49</v>
      </c>
      <c r="G19" s="4">
        <f t="shared" si="1"/>
        <v>-1.0251430702474806E-3</v>
      </c>
      <c r="H19" s="5"/>
    </row>
    <row r="20" spans="2:12" x14ac:dyDescent="0.35">
      <c r="B20" s="3">
        <v>45547</v>
      </c>
      <c r="C20" s="4">
        <v>117.36</v>
      </c>
      <c r="D20" s="4">
        <f t="shared" si="0"/>
        <v>1.2000829781270816E-2</v>
      </c>
      <c r="E20" s="3">
        <v>45547</v>
      </c>
      <c r="F20" s="4">
        <v>374.43</v>
      </c>
      <c r="G20" s="4">
        <f t="shared" si="1"/>
        <v>1.0578415779888495E-2</v>
      </c>
      <c r="H20" s="5"/>
      <c r="J20" s="1" t="s">
        <v>25</v>
      </c>
      <c r="K20" s="7">
        <f>L17*K3+L18*K4</f>
        <v>0.4304646356679882</v>
      </c>
    </row>
    <row r="21" spans="2:12" x14ac:dyDescent="0.35">
      <c r="B21" s="3">
        <v>45548</v>
      </c>
      <c r="C21" s="4">
        <v>117.75</v>
      </c>
      <c r="D21" s="4">
        <f t="shared" si="0"/>
        <v>3.3175990618010687E-3</v>
      </c>
      <c r="E21" s="3">
        <v>45548</v>
      </c>
      <c r="F21" s="4">
        <v>379.99</v>
      </c>
      <c r="G21" s="4">
        <f t="shared" si="1"/>
        <v>1.474006698621988E-2</v>
      </c>
      <c r="H21" s="5"/>
      <c r="J21" s="1" t="s">
        <v>26</v>
      </c>
      <c r="K21" s="7">
        <f>SQRT(L17^2*K7+L18^2*L8+2*L17*L18*L7)</f>
        <v>0.25817623270161455</v>
      </c>
    </row>
    <row r="22" spans="2:12" x14ac:dyDescent="0.35">
      <c r="B22" s="3">
        <v>45551</v>
      </c>
      <c r="C22" s="4">
        <v>117.55</v>
      </c>
      <c r="D22" s="4">
        <f t="shared" si="0"/>
        <v>-1.699957910448191E-3</v>
      </c>
      <c r="E22" s="3">
        <v>45551</v>
      </c>
      <c r="F22" s="4">
        <v>382.01</v>
      </c>
      <c r="G22" s="4">
        <f t="shared" si="1"/>
        <v>5.3018496897161427E-3</v>
      </c>
      <c r="H22" s="5"/>
    </row>
    <row r="23" spans="2:12" x14ac:dyDescent="0.35">
      <c r="B23" s="3">
        <v>45552</v>
      </c>
      <c r="C23" s="4">
        <v>122.12</v>
      </c>
      <c r="D23" s="4">
        <f t="shared" si="0"/>
        <v>3.8140392880598561E-2</v>
      </c>
      <c r="E23" s="3">
        <v>45552</v>
      </c>
      <c r="F23" s="4">
        <v>383.24</v>
      </c>
      <c r="G23" s="4">
        <f t="shared" si="1"/>
        <v>3.2146385082647555E-3</v>
      </c>
      <c r="H23" s="5"/>
      <c r="I23" s="9" t="s">
        <v>33</v>
      </c>
      <c r="J23" s="1" t="s">
        <v>27</v>
      </c>
      <c r="K23" s="4">
        <f>(K20-N3)/(6*K21^2)</f>
        <v>0.96858156847456411</v>
      </c>
    </row>
    <row r="24" spans="2:12" x14ac:dyDescent="0.35">
      <c r="B24" s="3">
        <v>45553</v>
      </c>
      <c r="C24" s="4">
        <v>122.42</v>
      </c>
      <c r="D24" s="4">
        <f t="shared" si="0"/>
        <v>2.4535875562463616E-3</v>
      </c>
      <c r="E24" s="3">
        <v>45553</v>
      </c>
      <c r="F24" s="4">
        <v>384.01</v>
      </c>
      <c r="G24" s="4">
        <f t="shared" si="1"/>
        <v>2.007169132642872E-3</v>
      </c>
      <c r="H24" s="5"/>
      <c r="J24" s="1" t="s">
        <v>28</v>
      </c>
      <c r="K24" s="7">
        <f>K23*K20+(1-K23)*N3</f>
        <v>0.41829424638687807</v>
      </c>
    </row>
    <row r="25" spans="2:12" x14ac:dyDescent="0.35">
      <c r="B25" s="3">
        <v>45554</v>
      </c>
      <c r="C25" s="4">
        <v>128.75</v>
      </c>
      <c r="D25" s="4">
        <f t="shared" si="0"/>
        <v>5.0414784120921929E-2</v>
      </c>
      <c r="E25" s="3">
        <v>45554</v>
      </c>
      <c r="F25" s="4">
        <v>390.34</v>
      </c>
      <c r="G25" s="4">
        <f t="shared" si="1"/>
        <v>1.6349560287740594E-2</v>
      </c>
      <c r="H25" s="5"/>
      <c r="J25" s="1" t="s">
        <v>29</v>
      </c>
      <c r="K25" s="7">
        <f>K23*K21</f>
        <v>0.25006474041298388</v>
      </c>
    </row>
    <row r="26" spans="2:12" x14ac:dyDescent="0.35">
      <c r="B26" s="3">
        <v>45555</v>
      </c>
      <c r="C26" s="4">
        <v>131.18</v>
      </c>
      <c r="D26" s="4">
        <f t="shared" si="0"/>
        <v>1.8697886321743518E-2</v>
      </c>
      <c r="E26" s="3">
        <v>45555</v>
      </c>
      <c r="F26" s="4">
        <v>389.86</v>
      </c>
      <c r="G26" s="4">
        <f t="shared" si="1"/>
        <v>-1.2304538850571589E-3</v>
      </c>
      <c r="H26" s="5"/>
    </row>
    <row r="27" spans="2:12" x14ac:dyDescent="0.35">
      <c r="B27" s="3">
        <v>45558</v>
      </c>
      <c r="C27" s="4">
        <v>129.03</v>
      </c>
      <c r="D27" s="4">
        <f t="shared" si="0"/>
        <v>-1.6525490401834375E-2</v>
      </c>
      <c r="E27" s="3">
        <v>45558</v>
      </c>
      <c r="F27" s="4">
        <v>391.96</v>
      </c>
      <c r="G27" s="4">
        <f t="shared" si="1"/>
        <v>5.3720934496190864E-3</v>
      </c>
      <c r="H27" s="5"/>
      <c r="I27" s="22"/>
      <c r="J27" s="1" t="s">
        <v>30</v>
      </c>
      <c r="K27" s="4">
        <f>1-K23</f>
        <v>3.1418431525435886E-2</v>
      </c>
    </row>
    <row r="28" spans="2:12" x14ac:dyDescent="0.35">
      <c r="B28" s="3">
        <v>45559</v>
      </c>
      <c r="C28" s="4">
        <v>131.47999999999999</v>
      </c>
      <c r="D28" s="4">
        <f t="shared" si="0"/>
        <v>1.8809813332263836E-2</v>
      </c>
      <c r="E28" s="3">
        <v>45559</v>
      </c>
      <c r="F28" s="4">
        <v>400.66</v>
      </c>
      <c r="G28" s="4">
        <f t="shared" si="1"/>
        <v>2.1953393585888215E-2</v>
      </c>
      <c r="H28" s="5"/>
      <c r="J28" s="1" t="s">
        <v>39</v>
      </c>
      <c r="K28" s="4">
        <f>K23*L17</f>
        <v>0.65918976538304352</v>
      </c>
    </row>
    <row r="29" spans="2:12" x14ac:dyDescent="0.35">
      <c r="B29" s="3">
        <v>45560</v>
      </c>
      <c r="C29" s="4">
        <v>130.71</v>
      </c>
      <c r="D29" s="4">
        <f t="shared" si="0"/>
        <v>-5.8736199985576221E-3</v>
      </c>
      <c r="E29" s="3">
        <v>45560</v>
      </c>
      <c r="F29" s="4">
        <v>396.93</v>
      </c>
      <c r="G29" s="4">
        <f t="shared" si="1"/>
        <v>-9.3532446310771178E-3</v>
      </c>
      <c r="H29" s="5"/>
      <c r="J29" s="1" t="s">
        <v>40</v>
      </c>
      <c r="K29" s="4">
        <f>K23*L18</f>
        <v>0.30939180309152065</v>
      </c>
    </row>
    <row r="30" spans="2:12" x14ac:dyDescent="0.35">
      <c r="B30" s="3">
        <v>45561</v>
      </c>
      <c r="C30" s="4">
        <v>129.25</v>
      </c>
      <c r="D30" s="4">
        <f t="shared" si="0"/>
        <v>-1.1232615408922619E-2</v>
      </c>
      <c r="E30" s="3">
        <v>45561</v>
      </c>
      <c r="F30" s="4">
        <v>396.7</v>
      </c>
      <c r="G30" s="4">
        <f t="shared" si="1"/>
        <v>-5.7961520214444562E-4</v>
      </c>
      <c r="H30" s="5"/>
      <c r="J30" s="1" t="s">
        <v>31</v>
      </c>
      <c r="K30" s="4">
        <f>SUM(K27:K29)</f>
        <v>1</v>
      </c>
    </row>
    <row r="31" spans="2:12" x14ac:dyDescent="0.35">
      <c r="B31" s="3">
        <v>45562</v>
      </c>
      <c r="C31" s="4">
        <v>128.25</v>
      </c>
      <c r="D31" s="4">
        <f t="shared" si="0"/>
        <v>-7.7670293376597144E-3</v>
      </c>
      <c r="E31" s="3">
        <v>45562</v>
      </c>
      <c r="F31" s="4">
        <v>399.53</v>
      </c>
      <c r="G31" s="4">
        <f t="shared" si="1"/>
        <v>7.1085287339753833E-3</v>
      </c>
      <c r="H31" s="5"/>
    </row>
    <row r="32" spans="2:12" x14ac:dyDescent="0.35">
      <c r="B32" s="3">
        <v>45565</v>
      </c>
      <c r="C32" s="4">
        <v>126.81</v>
      </c>
      <c r="D32" s="4">
        <f t="shared" si="0"/>
        <v>-1.1291580804070556E-2</v>
      </c>
      <c r="E32" s="3">
        <v>45565</v>
      </c>
      <c r="F32" s="4">
        <v>405.2</v>
      </c>
      <c r="G32" s="4">
        <f t="shared" si="1"/>
        <v>1.4091916120268166E-2</v>
      </c>
      <c r="H32" s="5"/>
    </row>
    <row r="33" spans="2:8" x14ac:dyDescent="0.35">
      <c r="B33" s="3">
        <v>45566</v>
      </c>
      <c r="C33" s="4">
        <v>125.47</v>
      </c>
      <c r="D33" s="4">
        <f t="shared" si="0"/>
        <v>-1.062321707519942E-2</v>
      </c>
      <c r="E33" s="3">
        <v>45566</v>
      </c>
      <c r="F33" s="4">
        <v>409.05</v>
      </c>
      <c r="G33" s="4">
        <f t="shared" si="1"/>
        <v>9.4566255851793457E-3</v>
      </c>
      <c r="H33" s="5"/>
    </row>
    <row r="34" spans="2:8" x14ac:dyDescent="0.35">
      <c r="B34" s="3">
        <v>45567</v>
      </c>
      <c r="C34" s="4">
        <v>126.18</v>
      </c>
      <c r="D34" s="4">
        <f t="shared" si="0"/>
        <v>5.6427727710550712E-3</v>
      </c>
      <c r="E34" s="3">
        <v>45567</v>
      </c>
      <c r="F34" s="4">
        <v>411.26</v>
      </c>
      <c r="G34" s="4">
        <f t="shared" si="1"/>
        <v>5.3882199336650061E-3</v>
      </c>
      <c r="H34" s="5"/>
    </row>
    <row r="35" spans="2:8" x14ac:dyDescent="0.35">
      <c r="B35" s="3">
        <v>45568</v>
      </c>
      <c r="C35" s="4">
        <v>125.29</v>
      </c>
      <c r="D35" s="4">
        <f t="shared" si="0"/>
        <v>-7.0784086852020422E-3</v>
      </c>
      <c r="E35" s="3">
        <v>45568</v>
      </c>
      <c r="F35" s="4">
        <v>411.58</v>
      </c>
      <c r="G35" s="4">
        <f t="shared" si="1"/>
        <v>7.7779402103050899E-4</v>
      </c>
      <c r="H35" s="5"/>
    </row>
    <row r="36" spans="2:8" x14ac:dyDescent="0.35">
      <c r="B36" s="3">
        <v>45569</v>
      </c>
      <c r="C36" s="4">
        <v>129.85</v>
      </c>
      <c r="D36" s="4">
        <f t="shared" si="0"/>
        <v>3.5748887851295486E-2</v>
      </c>
      <c r="E36" s="3">
        <v>45569</v>
      </c>
      <c r="F36" s="4">
        <v>408.36</v>
      </c>
      <c r="G36" s="4">
        <f t="shared" si="1"/>
        <v>-7.8542736135887026E-3</v>
      </c>
      <c r="H36" s="5"/>
    </row>
    <row r="37" spans="2:8" x14ac:dyDescent="0.35">
      <c r="B37" s="3">
        <v>45572</v>
      </c>
      <c r="C37" s="4">
        <v>130.22999999999999</v>
      </c>
      <c r="D37" s="4">
        <f t="shared" si="0"/>
        <v>2.9221798708549684E-3</v>
      </c>
      <c r="E37" s="3">
        <v>45572</v>
      </c>
      <c r="F37" s="4">
        <v>408.06</v>
      </c>
      <c r="G37" s="4">
        <f t="shared" si="1"/>
        <v>-7.3491588521168438E-4</v>
      </c>
      <c r="H37" s="5"/>
    </row>
    <row r="38" spans="2:8" x14ac:dyDescent="0.35">
      <c r="B38" s="3">
        <v>45573</v>
      </c>
      <c r="C38" s="4">
        <v>132.5</v>
      </c>
      <c r="D38" s="4">
        <f t="shared" si="0"/>
        <v>1.7280527446664529E-2</v>
      </c>
      <c r="E38" s="3">
        <v>45573</v>
      </c>
      <c r="F38" s="4">
        <v>414.18</v>
      </c>
      <c r="G38" s="4">
        <f t="shared" si="1"/>
        <v>1.488643952783697E-2</v>
      </c>
      <c r="H38" s="5"/>
    </row>
    <row r="39" spans="2:8" x14ac:dyDescent="0.35">
      <c r="B39" s="3">
        <v>45574</v>
      </c>
      <c r="C39" s="4">
        <v>135.49</v>
      </c>
      <c r="D39" s="4">
        <f t="shared" si="0"/>
        <v>2.2315191432062953E-2</v>
      </c>
      <c r="E39" s="3">
        <v>45574</v>
      </c>
      <c r="F39" s="4">
        <v>416.07</v>
      </c>
      <c r="G39" s="4">
        <f t="shared" si="1"/>
        <v>4.5528533929140025E-3</v>
      </c>
      <c r="H39" s="5"/>
    </row>
    <row r="40" spans="2:8" x14ac:dyDescent="0.35">
      <c r="B40" s="3">
        <v>45575</v>
      </c>
      <c r="C40" s="4">
        <v>132.81</v>
      </c>
      <c r="D40" s="4">
        <f t="shared" si="0"/>
        <v>-1.9978301446180069E-2</v>
      </c>
      <c r="E40" s="3">
        <v>45575</v>
      </c>
      <c r="F40" s="4">
        <v>409.96</v>
      </c>
      <c r="G40" s="4">
        <f t="shared" si="1"/>
        <v>-1.4793921372991292E-2</v>
      </c>
      <c r="H40" s="5"/>
    </row>
    <row r="41" spans="2:8" x14ac:dyDescent="0.35">
      <c r="B41" s="3">
        <v>45576</v>
      </c>
      <c r="C41" s="4">
        <v>134.4</v>
      </c>
      <c r="D41" s="4">
        <f t="shared" si="0"/>
        <v>1.1900892676889541E-2</v>
      </c>
      <c r="E41" s="3">
        <v>45576</v>
      </c>
      <c r="F41" s="4">
        <v>411.9</v>
      </c>
      <c r="G41" s="4">
        <f t="shared" si="1"/>
        <v>4.7210074786727674E-3</v>
      </c>
      <c r="H41" s="5"/>
    </row>
    <row r="42" spans="2:8" x14ac:dyDescent="0.35">
      <c r="B42" s="3">
        <v>45579</v>
      </c>
      <c r="C42" s="4">
        <v>134.79</v>
      </c>
      <c r="D42" s="4">
        <f t="shared" si="0"/>
        <v>2.8975836611291328E-3</v>
      </c>
      <c r="E42" s="3">
        <v>45579</v>
      </c>
      <c r="F42" s="4">
        <v>415.42</v>
      </c>
      <c r="G42" s="4">
        <f t="shared" si="1"/>
        <v>8.5094552059272743E-3</v>
      </c>
      <c r="H42" s="5"/>
    </row>
    <row r="43" spans="2:8" x14ac:dyDescent="0.35">
      <c r="B43" s="3">
        <v>45580</v>
      </c>
      <c r="C43" s="4">
        <v>133.27000000000001</v>
      </c>
      <c r="D43" s="4">
        <f t="shared" si="0"/>
        <v>-1.1340866158542795E-2</v>
      </c>
      <c r="E43" s="3">
        <v>45580</v>
      </c>
      <c r="F43" s="4">
        <v>415.58</v>
      </c>
      <c r="G43" s="4">
        <f t="shared" si="1"/>
        <v>3.8507822377198409E-4</v>
      </c>
      <c r="H43" s="5"/>
    </row>
    <row r="44" spans="2:8" x14ac:dyDescent="0.35">
      <c r="B44" s="3">
        <v>45581</v>
      </c>
      <c r="C44" s="4">
        <v>135.15</v>
      </c>
      <c r="D44" s="4">
        <f t="shared" si="0"/>
        <v>1.4008127130821002E-2</v>
      </c>
      <c r="E44" s="3">
        <v>45581</v>
      </c>
      <c r="F44" s="4">
        <v>418.61</v>
      </c>
      <c r="G44" s="4">
        <f t="shared" si="1"/>
        <v>7.2645640091479891E-3</v>
      </c>
      <c r="H44" s="5"/>
    </row>
    <row r="45" spans="2:8" x14ac:dyDescent="0.35">
      <c r="B45" s="3">
        <v>45582</v>
      </c>
      <c r="C45" s="4">
        <v>136.02000000000001</v>
      </c>
      <c r="D45" s="4">
        <f t="shared" si="0"/>
        <v>6.416661025036241E-3</v>
      </c>
      <c r="E45" s="3">
        <v>45582</v>
      </c>
      <c r="F45" s="4">
        <v>415.6</v>
      </c>
      <c r="G45" s="4">
        <f t="shared" si="1"/>
        <v>-7.2164396558100918E-3</v>
      </c>
      <c r="H45" s="5"/>
    </row>
    <row r="46" spans="2:8" x14ac:dyDescent="0.35">
      <c r="B46" s="3">
        <v>45583</v>
      </c>
      <c r="C46" s="4">
        <v>136.44999999999999</v>
      </c>
      <c r="D46" s="4">
        <f t="shared" si="0"/>
        <v>3.1563134068548493E-3</v>
      </c>
      <c r="E46" s="3">
        <v>45583</v>
      </c>
      <c r="F46" s="4">
        <v>415</v>
      </c>
      <c r="G46" s="4">
        <f t="shared" si="1"/>
        <v>-1.4447389943743616E-3</v>
      </c>
      <c r="H46" s="5"/>
    </row>
    <row r="47" spans="2:8" x14ac:dyDescent="0.35">
      <c r="B47" s="3">
        <v>45586</v>
      </c>
      <c r="C47" s="4">
        <v>137.19</v>
      </c>
      <c r="D47" s="4">
        <f t="shared" si="0"/>
        <v>5.4085791837259478E-3</v>
      </c>
      <c r="E47" s="3">
        <v>45586</v>
      </c>
      <c r="F47" s="4">
        <v>406.4</v>
      </c>
      <c r="G47" s="4">
        <f t="shared" si="1"/>
        <v>-2.0940623966425598E-2</v>
      </c>
      <c r="H47" s="5"/>
    </row>
    <row r="48" spans="2:8" x14ac:dyDescent="0.35">
      <c r="B48" s="3">
        <v>45587</v>
      </c>
      <c r="C48" s="4">
        <v>135.59</v>
      </c>
      <c r="D48" s="4">
        <f t="shared" si="0"/>
        <v>-1.1731199863855402E-2</v>
      </c>
      <c r="E48" s="3">
        <v>45587</v>
      </c>
      <c r="F48" s="4">
        <v>401.85</v>
      </c>
      <c r="G48" s="4">
        <f t="shared" si="1"/>
        <v>-1.1259011605544877E-2</v>
      </c>
      <c r="H48" s="5"/>
    </row>
    <row r="49" spans="2:8" x14ac:dyDescent="0.35">
      <c r="B49" s="3">
        <v>45588</v>
      </c>
      <c r="C49" s="4">
        <v>131.91999999999999</v>
      </c>
      <c r="D49" s="4">
        <f t="shared" si="0"/>
        <v>-2.7439948222874655E-2</v>
      </c>
      <c r="E49" s="3">
        <v>45588</v>
      </c>
      <c r="F49" s="4">
        <v>399.64</v>
      </c>
      <c r="G49" s="4">
        <f t="shared" si="1"/>
        <v>-5.5147427939097327E-3</v>
      </c>
      <c r="H49" s="5"/>
    </row>
    <row r="50" spans="2:8" x14ac:dyDescent="0.35">
      <c r="B50" s="3">
        <v>45589</v>
      </c>
      <c r="C50" s="4">
        <v>132.75</v>
      </c>
      <c r="D50" s="4">
        <f t="shared" si="0"/>
        <v>6.2719818707046571E-3</v>
      </c>
      <c r="E50" s="3">
        <v>45589</v>
      </c>
      <c r="F50" s="4">
        <v>402.68</v>
      </c>
      <c r="G50" s="4">
        <f t="shared" si="1"/>
        <v>7.5780599964048179E-3</v>
      </c>
      <c r="H50" s="5"/>
    </row>
    <row r="51" spans="2:8" x14ac:dyDescent="0.35">
      <c r="B51" s="3">
        <v>45590</v>
      </c>
      <c r="C51" s="4">
        <v>134.58000000000001</v>
      </c>
      <c r="D51" s="4">
        <f t="shared" si="0"/>
        <v>1.3691157638124452E-2</v>
      </c>
      <c r="E51" s="3">
        <v>45590</v>
      </c>
      <c r="F51" s="4">
        <v>398.91</v>
      </c>
      <c r="G51" s="4">
        <f t="shared" si="1"/>
        <v>-9.4063743244978681E-3</v>
      </c>
      <c r="H51" s="5"/>
    </row>
    <row r="52" spans="2:8" x14ac:dyDescent="0.35">
      <c r="B52" s="3">
        <v>45593</v>
      </c>
      <c r="C52" s="4">
        <v>135.78</v>
      </c>
      <c r="D52" s="4">
        <f t="shared" si="0"/>
        <v>8.8771111133283398E-3</v>
      </c>
      <c r="E52" s="3">
        <v>45593</v>
      </c>
      <c r="F52" s="4">
        <v>402.89</v>
      </c>
      <c r="G52" s="4">
        <f t="shared" si="1"/>
        <v>9.9277442979497366E-3</v>
      </c>
      <c r="H52" s="5"/>
    </row>
    <row r="53" spans="2:8" x14ac:dyDescent="0.35">
      <c r="B53" s="3">
        <v>45594</v>
      </c>
      <c r="C53" s="4">
        <v>137.78</v>
      </c>
      <c r="D53" s="4">
        <f t="shared" si="0"/>
        <v>1.4622281291549299E-2</v>
      </c>
      <c r="E53" s="3">
        <v>45594</v>
      </c>
      <c r="F53" s="4">
        <v>395.07</v>
      </c>
      <c r="G53" s="4">
        <f t="shared" si="1"/>
        <v>-1.9600607444435703E-2</v>
      </c>
      <c r="H53" s="5"/>
    </row>
    <row r="54" spans="2:8" x14ac:dyDescent="0.35">
      <c r="B54" s="3">
        <v>45595</v>
      </c>
      <c r="C54" s="4">
        <v>136.5</v>
      </c>
      <c r="D54" s="4">
        <f t="shared" si="0"/>
        <v>-9.3335955400357662E-3</v>
      </c>
      <c r="E54" s="3">
        <v>45595</v>
      </c>
      <c r="F54" s="4">
        <v>392.52</v>
      </c>
      <c r="G54" s="4">
        <f t="shared" si="1"/>
        <v>-6.4754730519460679E-3</v>
      </c>
      <c r="H54" s="5"/>
    </row>
    <row r="55" spans="2:8" x14ac:dyDescent="0.35">
      <c r="B55" s="3">
        <v>45596</v>
      </c>
      <c r="C55" s="4">
        <v>134.79</v>
      </c>
      <c r="D55" s="4">
        <f t="shared" si="0"/>
        <v>-1.260660287483617E-2</v>
      </c>
      <c r="E55" s="3">
        <v>45596</v>
      </c>
      <c r="F55" s="4">
        <v>393.75</v>
      </c>
      <c r="G55" s="4">
        <f t="shared" si="1"/>
        <v>3.1286988015502004E-3</v>
      </c>
      <c r="H55" s="5"/>
    </row>
    <row r="56" spans="2:8" x14ac:dyDescent="0.35">
      <c r="B56" s="3">
        <v>45597</v>
      </c>
      <c r="C56" s="4">
        <v>136.46</v>
      </c>
      <c r="D56" s="4">
        <f t="shared" si="0"/>
        <v>1.2313519637099368E-2</v>
      </c>
      <c r="E56" s="3">
        <v>45597</v>
      </c>
      <c r="F56" s="4">
        <v>392.59</v>
      </c>
      <c r="G56" s="4">
        <f t="shared" si="1"/>
        <v>-2.9503798394037162E-3</v>
      </c>
      <c r="H56" s="5"/>
    </row>
    <row r="57" spans="2:8" x14ac:dyDescent="0.35">
      <c r="B57" s="3">
        <v>45600</v>
      </c>
      <c r="C57" s="4">
        <v>136.87</v>
      </c>
      <c r="D57" s="4">
        <f t="shared" si="0"/>
        <v>3.0000388358972785E-3</v>
      </c>
      <c r="E57" s="3">
        <v>45600</v>
      </c>
      <c r="F57" s="4">
        <v>395.57</v>
      </c>
      <c r="G57" s="4">
        <f t="shared" si="1"/>
        <v>7.5619523966263813E-3</v>
      </c>
      <c r="H57" s="5"/>
    </row>
    <row r="58" spans="2:8" x14ac:dyDescent="0.35">
      <c r="B58" s="3">
        <v>45601</v>
      </c>
      <c r="C58" s="4">
        <v>137.82</v>
      </c>
      <c r="D58" s="4">
        <f t="shared" si="0"/>
        <v>6.9169157058865949E-3</v>
      </c>
      <c r="E58" s="3">
        <v>45601</v>
      </c>
      <c r="F58" s="4">
        <v>400.09</v>
      </c>
      <c r="G58" s="4">
        <f t="shared" si="1"/>
        <v>1.1361759102213043E-2</v>
      </c>
      <c r="H58" s="5"/>
    </row>
    <row r="59" spans="2:8" x14ac:dyDescent="0.35">
      <c r="B59" s="3">
        <v>45602</v>
      </c>
      <c r="C59" s="4">
        <v>140.91</v>
      </c>
      <c r="D59" s="4">
        <f t="shared" si="0"/>
        <v>2.2172902777952253E-2</v>
      </c>
      <c r="E59" s="3">
        <v>45602</v>
      </c>
      <c r="F59" s="4">
        <v>388.37</v>
      </c>
      <c r="G59" s="4">
        <f t="shared" si="1"/>
        <v>-2.9731028324072817E-2</v>
      </c>
      <c r="H59" s="5"/>
    </row>
    <row r="60" spans="2:8" x14ac:dyDescent="0.35">
      <c r="B60" s="3">
        <v>45603</v>
      </c>
      <c r="C60" s="4">
        <v>147.37</v>
      </c>
      <c r="D60" s="4">
        <f t="shared" si="0"/>
        <v>4.482504251815822E-2</v>
      </c>
      <c r="E60" s="3">
        <v>45603</v>
      </c>
      <c r="F60" s="4">
        <v>399.44</v>
      </c>
      <c r="G60" s="4">
        <f t="shared" si="1"/>
        <v>2.8105072717147905E-2</v>
      </c>
      <c r="H60" s="5"/>
    </row>
    <row r="61" spans="2:8" x14ac:dyDescent="0.35">
      <c r="B61" s="3">
        <v>45604</v>
      </c>
      <c r="C61" s="4">
        <v>134.61000000000001</v>
      </c>
      <c r="D61" s="4">
        <f t="shared" si="0"/>
        <v>-9.0564722569170364E-2</v>
      </c>
      <c r="E61" s="3">
        <v>45604</v>
      </c>
      <c r="F61" s="4">
        <v>405.9</v>
      </c>
      <c r="G61" s="4">
        <f t="shared" si="1"/>
        <v>1.6043257652498255E-2</v>
      </c>
      <c r="H61" s="5"/>
    </row>
    <row r="62" spans="2:8" x14ac:dyDescent="0.35">
      <c r="B62" s="3">
        <v>45607</v>
      </c>
      <c r="C62" s="4">
        <v>137.4</v>
      </c>
      <c r="D62" s="4">
        <f t="shared" si="0"/>
        <v>2.0514671132247031E-2</v>
      </c>
      <c r="E62" s="3">
        <v>45607</v>
      </c>
      <c r="F62" s="4">
        <v>408.29</v>
      </c>
      <c r="G62" s="4">
        <f t="shared" si="1"/>
        <v>5.8708823855004866E-3</v>
      </c>
      <c r="H62" s="5"/>
    </row>
    <row r="63" spans="2:8" x14ac:dyDescent="0.35">
      <c r="B63" s="3">
        <v>45608</v>
      </c>
      <c r="C63" s="4">
        <v>133.19999999999999</v>
      </c>
      <c r="D63" s="4">
        <f t="shared" si="0"/>
        <v>-3.1044621681959761E-2</v>
      </c>
      <c r="E63" s="3">
        <v>45608</v>
      </c>
      <c r="F63" s="4">
        <v>403.08</v>
      </c>
      <c r="G63" s="4">
        <f t="shared" si="1"/>
        <v>-1.2842652818150668E-2</v>
      </c>
      <c r="H63" s="5"/>
    </row>
    <row r="64" spans="2:8" x14ac:dyDescent="0.35">
      <c r="B64" s="3">
        <v>45609</v>
      </c>
      <c r="C64" s="4">
        <v>132.76</v>
      </c>
      <c r="D64" s="4">
        <f t="shared" si="0"/>
        <v>-3.3087712545150083E-3</v>
      </c>
      <c r="E64" s="3">
        <v>45609</v>
      </c>
      <c r="F64" s="4">
        <v>410.19</v>
      </c>
      <c r="G64" s="4">
        <f t="shared" si="1"/>
        <v>1.7485413576898701E-2</v>
      </c>
      <c r="H64" s="5"/>
    </row>
    <row r="65" spans="2:8" x14ac:dyDescent="0.35">
      <c r="B65" s="3">
        <v>45610</v>
      </c>
      <c r="C65" s="4">
        <v>134.56</v>
      </c>
      <c r="D65" s="4">
        <f t="shared" si="0"/>
        <v>1.3467209372864275E-2</v>
      </c>
      <c r="E65" s="3">
        <v>45610</v>
      </c>
      <c r="F65" s="4">
        <v>405.72</v>
      </c>
      <c r="G65" s="4">
        <f t="shared" si="1"/>
        <v>-1.0957200481305662E-2</v>
      </c>
      <c r="H65" s="5"/>
    </row>
    <row r="66" spans="2:8" x14ac:dyDescent="0.35">
      <c r="B66" s="3">
        <v>45611</v>
      </c>
      <c r="C66" s="4">
        <v>132.5</v>
      </c>
      <c r="D66" s="4">
        <f t="shared" si="0"/>
        <v>-1.5427550798361445E-2</v>
      </c>
      <c r="E66" s="3">
        <v>45611</v>
      </c>
      <c r="F66" s="4">
        <v>408.18</v>
      </c>
      <c r="G66" s="4">
        <f t="shared" si="1"/>
        <v>6.0449870772298908E-3</v>
      </c>
      <c r="H66" s="5"/>
    </row>
    <row r="67" spans="2:8" x14ac:dyDescent="0.35">
      <c r="B67" s="3">
        <v>45614</v>
      </c>
      <c r="C67" s="4">
        <v>132.19</v>
      </c>
      <c r="D67" s="4">
        <f t="shared" si="0"/>
        <v>-2.3423638349679976E-3</v>
      </c>
      <c r="E67" s="3">
        <v>45614</v>
      </c>
      <c r="F67" s="4">
        <v>410.44</v>
      </c>
      <c r="G67" s="4">
        <f t="shared" si="1"/>
        <v>5.5215014089835535E-3</v>
      </c>
      <c r="H67" s="5"/>
    </row>
    <row r="68" spans="2:8" x14ac:dyDescent="0.35">
      <c r="B68" s="3">
        <v>45615</v>
      </c>
      <c r="C68" s="4">
        <v>131.44</v>
      </c>
      <c r="D68" s="4">
        <f t="shared" si="0"/>
        <v>-5.6898078622964476E-3</v>
      </c>
      <c r="E68" s="3">
        <v>45615</v>
      </c>
      <c r="F68" s="4">
        <v>406.8</v>
      </c>
      <c r="G68" s="4">
        <f t="shared" si="1"/>
        <v>-8.9080908196033093E-3</v>
      </c>
      <c r="H68" s="5"/>
    </row>
    <row r="69" spans="2:8" x14ac:dyDescent="0.35">
      <c r="B69" s="3">
        <v>45616</v>
      </c>
      <c r="C69" s="4">
        <v>135.25</v>
      </c>
      <c r="D69" s="4">
        <f t="shared" si="0"/>
        <v>2.8574443997579024E-2</v>
      </c>
      <c r="E69" s="3">
        <v>45616</v>
      </c>
      <c r="F69" s="4">
        <v>400</v>
      </c>
      <c r="G69" s="4">
        <f t="shared" si="1"/>
        <v>-1.6857117066423122E-2</v>
      </c>
      <c r="H69" s="5"/>
    </row>
    <row r="70" spans="2:8" x14ac:dyDescent="0.35">
      <c r="B70" s="3">
        <v>45617</v>
      </c>
      <c r="C70" s="4">
        <v>133.26</v>
      </c>
      <c r="D70" s="4">
        <f t="shared" ref="D70:D129" si="2">LN(C70)-LN(C69)</f>
        <v>-1.4822810592200142E-2</v>
      </c>
      <c r="E70" s="3">
        <v>45617</v>
      </c>
      <c r="F70" s="4">
        <v>410.45</v>
      </c>
      <c r="G70" s="4">
        <f t="shared" ref="G70:G129" si="3">LN(F70)-LN(F69)</f>
        <v>2.5789571686293478E-2</v>
      </c>
      <c r="H70" s="5"/>
    </row>
    <row r="71" spans="2:8" x14ac:dyDescent="0.35">
      <c r="B71" s="3">
        <v>45618</v>
      </c>
      <c r="C71" s="4">
        <v>137.34</v>
      </c>
      <c r="D71" s="4">
        <f t="shared" si="2"/>
        <v>3.0157496058139444E-2</v>
      </c>
      <c r="E71" s="3">
        <v>45618</v>
      </c>
      <c r="F71" s="4">
        <v>420</v>
      </c>
      <c r="G71" s="4">
        <f t="shared" si="3"/>
        <v>2.3000592483138682E-2</v>
      </c>
      <c r="H71" s="5"/>
    </row>
    <row r="72" spans="2:8" x14ac:dyDescent="0.35">
      <c r="B72" s="3">
        <v>45621</v>
      </c>
      <c r="C72" s="4">
        <v>140.93</v>
      </c>
      <c r="D72" s="4">
        <f t="shared" si="2"/>
        <v>2.5803710010888992E-2</v>
      </c>
      <c r="E72" s="3">
        <v>45621</v>
      </c>
      <c r="F72" s="4">
        <v>428.67</v>
      </c>
      <c r="G72" s="4">
        <f t="shared" si="3"/>
        <v>2.0432680871574682E-2</v>
      </c>
      <c r="H72" s="5"/>
    </row>
    <row r="73" spans="2:8" x14ac:dyDescent="0.35">
      <c r="B73" s="3">
        <v>45622</v>
      </c>
      <c r="C73" s="4">
        <v>139.66999999999999</v>
      </c>
      <c r="D73" s="4">
        <f t="shared" si="2"/>
        <v>-8.9808158857396236E-3</v>
      </c>
      <c r="E73" s="3">
        <v>45622</v>
      </c>
      <c r="F73" s="4">
        <v>429.52</v>
      </c>
      <c r="G73" s="4">
        <f t="shared" si="3"/>
        <v>1.9809139653252927E-3</v>
      </c>
      <c r="H73" s="5"/>
    </row>
    <row r="74" spans="2:8" x14ac:dyDescent="0.35">
      <c r="B74" s="3">
        <v>45623</v>
      </c>
      <c r="C74" s="4">
        <v>138.28</v>
      </c>
      <c r="D74" s="4">
        <f t="shared" si="2"/>
        <v>-1.0001882264256245E-2</v>
      </c>
      <c r="E74" s="3">
        <v>45623</v>
      </c>
      <c r="F74" s="4">
        <v>427.19</v>
      </c>
      <c r="G74" s="4">
        <f t="shared" si="3"/>
        <v>-5.439426982006168E-3</v>
      </c>
      <c r="H74" s="5"/>
    </row>
    <row r="75" spans="2:8" x14ac:dyDescent="0.35">
      <c r="B75" s="3">
        <v>45625</v>
      </c>
      <c r="C75" s="4">
        <v>136.11000000000001</v>
      </c>
      <c r="D75" s="4">
        <f t="shared" si="2"/>
        <v>-1.5817232709441242E-2</v>
      </c>
      <c r="E75" s="3">
        <v>45625</v>
      </c>
      <c r="F75" s="4">
        <v>429.13</v>
      </c>
      <c r="G75" s="4">
        <f t="shared" si="3"/>
        <v>4.5310241943310459E-3</v>
      </c>
      <c r="H75" s="5"/>
    </row>
    <row r="76" spans="2:8" x14ac:dyDescent="0.35">
      <c r="B76" s="3">
        <v>45628</v>
      </c>
      <c r="C76" s="4">
        <v>137.49</v>
      </c>
      <c r="D76" s="4">
        <f t="shared" si="2"/>
        <v>1.0087804845159809E-2</v>
      </c>
      <c r="E76" s="3">
        <v>45628</v>
      </c>
      <c r="F76" s="4">
        <v>426.96</v>
      </c>
      <c r="G76" s="4">
        <f t="shared" si="3"/>
        <v>-5.069571300949427E-3</v>
      </c>
      <c r="H76" s="5"/>
    </row>
    <row r="77" spans="2:8" x14ac:dyDescent="0.35">
      <c r="B77" s="3">
        <v>45629</v>
      </c>
      <c r="C77" s="4">
        <v>137.46</v>
      </c>
      <c r="D77" s="4">
        <f t="shared" si="2"/>
        <v>-2.1822149568340166E-4</v>
      </c>
      <c r="E77" s="3">
        <v>45629</v>
      </c>
      <c r="F77" s="4">
        <v>429.35</v>
      </c>
      <c r="G77" s="4">
        <f t="shared" si="3"/>
        <v>5.5821050928042126E-3</v>
      </c>
      <c r="H77" s="5"/>
    </row>
    <row r="78" spans="2:8" x14ac:dyDescent="0.35">
      <c r="B78" s="3">
        <v>45630</v>
      </c>
      <c r="C78" s="4">
        <v>139.07</v>
      </c>
      <c r="D78" s="4">
        <f t="shared" si="2"/>
        <v>1.164443779706037E-2</v>
      </c>
      <c r="E78" s="3">
        <v>45630</v>
      </c>
      <c r="F78" s="4">
        <v>427.92</v>
      </c>
      <c r="G78" s="4">
        <f t="shared" si="3"/>
        <v>-3.3361748954989778E-3</v>
      </c>
      <c r="H78" s="5"/>
    </row>
    <row r="79" spans="2:8" x14ac:dyDescent="0.35">
      <c r="B79" s="3">
        <v>45631</v>
      </c>
      <c r="C79" s="4">
        <v>136.32</v>
      </c>
      <c r="D79" s="4">
        <f t="shared" si="2"/>
        <v>-1.9972340409514011E-2</v>
      </c>
      <c r="E79" s="3">
        <v>45631</v>
      </c>
      <c r="F79" s="4">
        <v>426.54</v>
      </c>
      <c r="G79" s="4">
        <f t="shared" si="3"/>
        <v>-3.2301130535481448E-3</v>
      </c>
      <c r="H79" s="5"/>
    </row>
    <row r="80" spans="2:8" x14ac:dyDescent="0.35">
      <c r="B80" s="3">
        <v>45632</v>
      </c>
      <c r="C80" s="4">
        <v>136.91999999999999</v>
      </c>
      <c r="D80" s="4">
        <f t="shared" si="2"/>
        <v>4.3917505809796253E-3</v>
      </c>
      <c r="E80" s="3">
        <v>45632</v>
      </c>
      <c r="F80" s="4">
        <v>431.37</v>
      </c>
      <c r="G80" s="4">
        <f t="shared" si="3"/>
        <v>1.1260041338313265E-2</v>
      </c>
      <c r="H80" s="5"/>
    </row>
    <row r="81" spans="2:8" x14ac:dyDescent="0.35">
      <c r="B81" s="3">
        <v>45635</v>
      </c>
      <c r="C81" s="4">
        <v>137.27000000000001</v>
      </c>
      <c r="D81" s="4">
        <f t="shared" si="2"/>
        <v>2.552975601583185E-3</v>
      </c>
      <c r="E81" s="3">
        <v>45635</v>
      </c>
      <c r="F81" s="4">
        <v>429.18</v>
      </c>
      <c r="G81" s="4">
        <f t="shared" si="3"/>
        <v>-5.0897791594124442E-3</v>
      </c>
      <c r="H81" s="5"/>
    </row>
    <row r="82" spans="2:8" x14ac:dyDescent="0.35">
      <c r="B82" s="3">
        <v>45636</v>
      </c>
      <c r="C82" s="4">
        <v>138.30000000000001</v>
      </c>
      <c r="D82" s="4">
        <f t="shared" si="2"/>
        <v>7.4754494071447297E-3</v>
      </c>
      <c r="E82" s="3">
        <v>45636</v>
      </c>
      <c r="F82" s="4">
        <v>422.59</v>
      </c>
      <c r="G82" s="4">
        <f t="shared" si="3"/>
        <v>-1.5473969484698813E-2</v>
      </c>
      <c r="H82" s="5"/>
    </row>
    <row r="83" spans="2:8" x14ac:dyDescent="0.35">
      <c r="B83" s="3">
        <v>45637</v>
      </c>
      <c r="C83" s="4">
        <v>138.84</v>
      </c>
      <c r="D83" s="4">
        <f t="shared" si="2"/>
        <v>3.8969523228731262E-3</v>
      </c>
      <c r="E83" s="3">
        <v>45637</v>
      </c>
      <c r="F83" s="4">
        <v>421.38</v>
      </c>
      <c r="G83" s="4">
        <f t="shared" si="3"/>
        <v>-2.8674024646644369E-3</v>
      </c>
      <c r="H83" s="5"/>
    </row>
    <row r="84" spans="2:8" x14ac:dyDescent="0.35">
      <c r="B84" s="3">
        <v>45638</v>
      </c>
      <c r="C84" s="4">
        <v>137.47</v>
      </c>
      <c r="D84" s="4">
        <f t="shared" si="2"/>
        <v>-9.9164795102568704E-3</v>
      </c>
      <c r="E84" s="3">
        <v>45638</v>
      </c>
      <c r="F84" s="4">
        <v>414.42</v>
      </c>
      <c r="G84" s="4">
        <f t="shared" si="3"/>
        <v>-1.6655087070047259E-2</v>
      </c>
      <c r="H84" s="5"/>
    </row>
    <row r="85" spans="2:8" x14ac:dyDescent="0.35">
      <c r="B85" s="3">
        <v>45639</v>
      </c>
      <c r="C85" s="4">
        <v>130.94999999999999</v>
      </c>
      <c r="D85" s="4">
        <f t="shared" si="2"/>
        <v>-4.8590140529608306E-2</v>
      </c>
      <c r="E85" s="3">
        <v>45639</v>
      </c>
      <c r="F85" s="4">
        <v>416.98</v>
      </c>
      <c r="G85" s="4">
        <f t="shared" si="3"/>
        <v>6.1583066889738802E-3</v>
      </c>
      <c r="H85" s="5"/>
    </row>
    <row r="86" spans="2:8" x14ac:dyDescent="0.35">
      <c r="B86" s="3">
        <v>45642</v>
      </c>
      <c r="C86" s="4">
        <v>132.19999999999999</v>
      </c>
      <c r="D86" s="4">
        <f t="shared" si="2"/>
        <v>9.5003564638656002E-3</v>
      </c>
      <c r="E86" s="3">
        <v>45642</v>
      </c>
      <c r="F86" s="4">
        <v>410.71</v>
      </c>
      <c r="G86" s="4">
        <f t="shared" si="3"/>
        <v>-1.5150889678824164E-2</v>
      </c>
      <c r="H86" s="5"/>
    </row>
    <row r="87" spans="2:8" x14ac:dyDescent="0.35">
      <c r="B87" s="3">
        <v>45643</v>
      </c>
      <c r="C87" s="4">
        <v>132.24</v>
      </c>
      <c r="D87" s="4">
        <f t="shared" si="2"/>
        <v>3.0252609518299778E-4</v>
      </c>
      <c r="E87" s="3">
        <v>45643</v>
      </c>
      <c r="F87" s="4">
        <v>408.47</v>
      </c>
      <c r="G87" s="4">
        <f t="shared" si="3"/>
        <v>-5.4688971483187743E-3</v>
      </c>
      <c r="H87" s="5"/>
    </row>
    <row r="88" spans="2:8" x14ac:dyDescent="0.35">
      <c r="B88" s="3">
        <v>45644</v>
      </c>
      <c r="C88" s="4">
        <v>127.54</v>
      </c>
      <c r="D88" s="4">
        <f t="shared" si="2"/>
        <v>-3.6188412625643984E-2</v>
      </c>
      <c r="E88" s="3">
        <v>45644</v>
      </c>
      <c r="F88" s="4">
        <v>393.82</v>
      </c>
      <c r="G88" s="4">
        <f t="shared" si="3"/>
        <v>-3.6524520073743183E-2</v>
      </c>
      <c r="H88" s="5"/>
    </row>
    <row r="89" spans="2:8" x14ac:dyDescent="0.35">
      <c r="B89" s="3">
        <v>45645</v>
      </c>
      <c r="C89" s="4">
        <v>129.35</v>
      </c>
      <c r="D89" s="4">
        <f t="shared" si="2"/>
        <v>1.4091867744912889E-2</v>
      </c>
      <c r="E89" s="3">
        <v>45645</v>
      </c>
      <c r="F89" s="4">
        <v>385.02</v>
      </c>
      <c r="G89" s="4">
        <f t="shared" si="3"/>
        <v>-2.2598671126545788E-2</v>
      </c>
      <c r="H89" s="5"/>
    </row>
    <row r="90" spans="2:8" x14ac:dyDescent="0.35">
      <c r="B90" s="3">
        <v>45646</v>
      </c>
      <c r="C90" s="4">
        <v>134.21</v>
      </c>
      <c r="D90" s="4">
        <f t="shared" si="2"/>
        <v>3.6883828777676264E-2</v>
      </c>
      <c r="E90" s="3">
        <v>45646</v>
      </c>
      <c r="F90" s="4">
        <v>392.6</v>
      </c>
      <c r="G90" s="4">
        <f t="shared" si="3"/>
        <v>1.94960008518823E-2</v>
      </c>
      <c r="H90" s="5"/>
    </row>
    <row r="91" spans="2:8" x14ac:dyDescent="0.35">
      <c r="B91" s="3">
        <v>45649</v>
      </c>
      <c r="C91" s="4">
        <v>134.52000000000001</v>
      </c>
      <c r="D91" s="4">
        <f t="shared" si="2"/>
        <v>2.3071494623545519E-3</v>
      </c>
      <c r="E91" s="3">
        <v>45649</v>
      </c>
      <c r="F91" s="4">
        <v>392.45</v>
      </c>
      <c r="G91" s="4">
        <f t="shared" si="3"/>
        <v>-3.8214126953839411E-4</v>
      </c>
      <c r="H91" s="5"/>
    </row>
    <row r="92" spans="2:8" x14ac:dyDescent="0.35">
      <c r="B92" s="3">
        <v>45650</v>
      </c>
      <c r="C92" s="4">
        <v>134.99</v>
      </c>
      <c r="D92" s="4">
        <f t="shared" si="2"/>
        <v>3.4878147486665512E-3</v>
      </c>
      <c r="E92" s="3">
        <v>45650</v>
      </c>
      <c r="F92" s="4">
        <v>396.14</v>
      </c>
      <c r="G92" s="4">
        <f t="shared" si="3"/>
        <v>9.3585435562957286E-3</v>
      </c>
      <c r="H92" s="5"/>
    </row>
    <row r="93" spans="2:8" x14ac:dyDescent="0.35">
      <c r="B93" s="3">
        <v>45652</v>
      </c>
      <c r="C93" s="4">
        <v>135.32</v>
      </c>
      <c r="D93" s="4">
        <f t="shared" si="2"/>
        <v>2.4416422917719061E-3</v>
      </c>
      <c r="E93" s="3">
        <v>45652</v>
      </c>
      <c r="F93" s="4">
        <v>395.14</v>
      </c>
      <c r="G93" s="4">
        <f t="shared" si="3"/>
        <v>-2.5275516438592049E-3</v>
      </c>
      <c r="H93" s="5"/>
    </row>
    <row r="94" spans="2:8" x14ac:dyDescent="0.35">
      <c r="B94" s="3">
        <v>45653</v>
      </c>
      <c r="C94" s="4">
        <v>133.38499999999999</v>
      </c>
      <c r="D94" s="4">
        <f t="shared" si="2"/>
        <v>-1.4402660531370515E-2</v>
      </c>
      <c r="E94" s="3">
        <v>45653</v>
      </c>
      <c r="F94" s="4">
        <v>392.86</v>
      </c>
      <c r="G94" s="4">
        <f t="shared" si="3"/>
        <v>-5.7868181791285167E-3</v>
      </c>
      <c r="H94" s="5"/>
    </row>
    <row r="95" spans="2:8" x14ac:dyDescent="0.35">
      <c r="B95" s="3">
        <v>45656</v>
      </c>
      <c r="C95" s="4">
        <v>131.81</v>
      </c>
      <c r="D95" s="4">
        <f t="shared" si="2"/>
        <v>-1.1878191656762738E-2</v>
      </c>
      <c r="E95" s="3">
        <v>45656</v>
      </c>
      <c r="F95" s="4">
        <v>389.43</v>
      </c>
      <c r="G95" s="4">
        <f t="shared" si="3"/>
        <v>-8.7691827331175531E-3</v>
      </c>
      <c r="H95" s="5"/>
    </row>
    <row r="96" spans="2:8" x14ac:dyDescent="0.35">
      <c r="B96" s="3">
        <v>45657</v>
      </c>
      <c r="C96" s="4">
        <v>131.41</v>
      </c>
      <c r="D96" s="4">
        <f t="shared" si="2"/>
        <v>-3.0392850688274464E-3</v>
      </c>
      <c r="E96" s="3">
        <v>45657</v>
      </c>
      <c r="F96" s="4">
        <v>388.99</v>
      </c>
      <c r="G96" s="4">
        <f t="shared" si="3"/>
        <v>-1.130495225869943E-3</v>
      </c>
      <c r="H96" s="5"/>
    </row>
    <row r="97" spans="2:8" x14ac:dyDescent="0.35">
      <c r="B97" s="3">
        <v>45659</v>
      </c>
      <c r="C97" s="4">
        <v>131.47999999999999</v>
      </c>
      <c r="D97" s="4">
        <f t="shared" si="2"/>
        <v>5.3254214047182558E-4</v>
      </c>
      <c r="E97" s="3">
        <v>45659</v>
      </c>
      <c r="F97" s="4">
        <v>388.46</v>
      </c>
      <c r="G97" s="4">
        <f t="shared" si="3"/>
        <v>-1.3634319431563569E-3</v>
      </c>
      <c r="H97" s="5"/>
    </row>
    <row r="98" spans="2:8" x14ac:dyDescent="0.35">
      <c r="B98" s="3">
        <v>45660</v>
      </c>
      <c r="C98" s="4">
        <v>135.71</v>
      </c>
      <c r="D98" s="4">
        <f t="shared" si="2"/>
        <v>3.1665507297260476E-2</v>
      </c>
      <c r="E98" s="3">
        <v>45660</v>
      </c>
      <c r="F98" s="4">
        <v>389.18</v>
      </c>
      <c r="G98" s="4">
        <f t="shared" si="3"/>
        <v>1.8517571260234789E-3</v>
      </c>
      <c r="H98" s="5"/>
    </row>
    <row r="99" spans="2:8" x14ac:dyDescent="0.35">
      <c r="B99" s="3">
        <v>45663</v>
      </c>
      <c r="C99" s="4">
        <v>135.19999999999999</v>
      </c>
      <c r="D99" s="4">
        <f t="shared" si="2"/>
        <v>-3.7650924844152556E-3</v>
      </c>
      <c r="E99" s="3">
        <v>45663</v>
      </c>
      <c r="F99" s="4">
        <v>389.37</v>
      </c>
      <c r="G99" s="4">
        <f t="shared" si="3"/>
        <v>4.8808683776702111E-4</v>
      </c>
      <c r="H99" s="5"/>
    </row>
    <row r="100" spans="2:8" x14ac:dyDescent="0.35">
      <c r="B100" s="3">
        <v>45664</v>
      </c>
      <c r="C100" s="4">
        <v>131.29</v>
      </c>
      <c r="D100" s="4">
        <f t="shared" si="2"/>
        <v>-2.9346546662845086E-2</v>
      </c>
      <c r="E100" s="3">
        <v>45664</v>
      </c>
      <c r="F100" s="4">
        <v>384.23</v>
      </c>
      <c r="G100" s="4">
        <f t="shared" si="3"/>
        <v>-1.3288716750666119E-2</v>
      </c>
      <c r="H100" s="5"/>
    </row>
    <row r="101" spans="2:8" x14ac:dyDescent="0.35">
      <c r="B101" s="3">
        <v>45665</v>
      </c>
      <c r="C101" s="4">
        <v>130.80000000000001</v>
      </c>
      <c r="D101" s="4">
        <f t="shared" si="2"/>
        <v>-3.7391779229203337E-3</v>
      </c>
      <c r="E101" s="3">
        <v>45665</v>
      </c>
      <c r="F101" s="4">
        <v>387.2</v>
      </c>
      <c r="G101" s="4">
        <f t="shared" si="3"/>
        <v>7.7000237853104281E-3</v>
      </c>
      <c r="H101" s="5"/>
    </row>
    <row r="102" spans="2:8" x14ac:dyDescent="0.35">
      <c r="B102" s="3">
        <v>45667</v>
      </c>
      <c r="C102" s="4">
        <v>129.63</v>
      </c>
      <c r="D102" s="4">
        <f t="shared" si="2"/>
        <v>-8.9852004111472539E-3</v>
      </c>
      <c r="E102" s="3">
        <v>45667</v>
      </c>
      <c r="F102" s="4">
        <v>389.89</v>
      </c>
      <c r="G102" s="4">
        <f t="shared" si="3"/>
        <v>6.9232926552755814E-3</v>
      </c>
      <c r="H102" s="5"/>
    </row>
    <row r="103" spans="2:8" x14ac:dyDescent="0.35">
      <c r="B103" s="3">
        <v>45670</v>
      </c>
      <c r="C103" s="4">
        <v>128.85</v>
      </c>
      <c r="D103" s="4">
        <f t="shared" si="2"/>
        <v>-6.0353015135774513E-3</v>
      </c>
      <c r="E103" s="3">
        <v>45670</v>
      </c>
      <c r="F103" s="4">
        <v>389.18</v>
      </c>
      <c r="G103" s="4">
        <f t="shared" si="3"/>
        <v>-1.822686527686912E-3</v>
      </c>
      <c r="H103" s="5"/>
    </row>
    <row r="104" spans="2:8" x14ac:dyDescent="0.35">
      <c r="B104" s="3">
        <v>45671</v>
      </c>
      <c r="C104" s="4">
        <v>127.6</v>
      </c>
      <c r="D104" s="4">
        <f t="shared" si="2"/>
        <v>-9.7485661876843821E-3</v>
      </c>
      <c r="E104" s="3">
        <v>45671</v>
      </c>
      <c r="F104" s="4">
        <v>392.78</v>
      </c>
      <c r="G104" s="4">
        <f t="shared" si="3"/>
        <v>9.2076971570662636E-3</v>
      </c>
      <c r="H104" s="5"/>
    </row>
    <row r="105" spans="2:8" x14ac:dyDescent="0.35">
      <c r="B105" s="3">
        <v>45672</v>
      </c>
      <c r="C105" s="4">
        <v>132.52000000000001</v>
      </c>
      <c r="D105" s="4">
        <f t="shared" si="2"/>
        <v>3.7833206521005636E-2</v>
      </c>
      <c r="E105" s="3">
        <v>45672</v>
      </c>
      <c r="F105" s="4">
        <v>406.09</v>
      </c>
      <c r="G105" s="4">
        <f t="shared" si="3"/>
        <v>3.3325151225258587E-2</v>
      </c>
      <c r="H105" s="5"/>
    </row>
    <row r="106" spans="2:8" x14ac:dyDescent="0.35">
      <c r="B106" s="3">
        <v>45673</v>
      </c>
      <c r="C106" s="4">
        <v>132.16</v>
      </c>
      <c r="D106" s="4">
        <f t="shared" si="2"/>
        <v>-2.720267659026554E-3</v>
      </c>
      <c r="E106" s="3">
        <v>45673</v>
      </c>
      <c r="F106" s="4">
        <v>409.33</v>
      </c>
      <c r="G106" s="4">
        <f t="shared" si="3"/>
        <v>7.946866771010086E-3</v>
      </c>
      <c r="H106" s="5"/>
    </row>
    <row r="107" spans="2:8" x14ac:dyDescent="0.35">
      <c r="B107" s="3">
        <v>45674</v>
      </c>
      <c r="C107" s="4">
        <v>135.12</v>
      </c>
      <c r="D107" s="4">
        <f t="shared" si="2"/>
        <v>2.2149962726876637E-2</v>
      </c>
      <c r="E107" s="3">
        <v>45674</v>
      </c>
      <c r="F107" s="4">
        <v>409.38</v>
      </c>
      <c r="G107" s="4">
        <f t="shared" si="3"/>
        <v>1.2214337204241588E-4</v>
      </c>
      <c r="H107" s="5"/>
    </row>
    <row r="108" spans="2:8" x14ac:dyDescent="0.35">
      <c r="B108" s="3">
        <v>45678</v>
      </c>
      <c r="C108" s="4">
        <v>133.07</v>
      </c>
      <c r="D108" s="4">
        <f t="shared" si="2"/>
        <v>-1.5287966943893672E-2</v>
      </c>
      <c r="E108" s="3">
        <v>45678</v>
      </c>
      <c r="F108" s="4">
        <v>418.43</v>
      </c>
      <c r="G108" s="4">
        <f t="shared" si="3"/>
        <v>2.1865791845721461E-2</v>
      </c>
      <c r="H108" s="5"/>
    </row>
    <row r="109" spans="2:8" x14ac:dyDescent="0.35">
      <c r="B109" s="3">
        <v>45679</v>
      </c>
      <c r="C109" s="4">
        <v>132.5</v>
      </c>
      <c r="D109" s="4">
        <f t="shared" si="2"/>
        <v>-4.2926601293746813E-3</v>
      </c>
      <c r="E109" s="3">
        <v>45679</v>
      </c>
      <c r="F109" s="4">
        <v>410.1</v>
      </c>
      <c r="G109" s="4">
        <f t="shared" si="3"/>
        <v>-2.0108579503095747E-2</v>
      </c>
      <c r="H109" s="5"/>
    </row>
    <row r="110" spans="2:8" x14ac:dyDescent="0.35">
      <c r="B110" s="3">
        <v>45680</v>
      </c>
      <c r="C110" s="4">
        <v>133.24</v>
      </c>
      <c r="D110" s="4">
        <f t="shared" si="2"/>
        <v>5.5693678992021489E-3</v>
      </c>
      <c r="E110" s="3">
        <v>45680</v>
      </c>
      <c r="F110" s="4">
        <v>414.39</v>
      </c>
      <c r="G110" s="4">
        <f t="shared" si="3"/>
        <v>1.0406526981964426E-2</v>
      </c>
      <c r="H110" s="5"/>
    </row>
    <row r="111" spans="2:8" x14ac:dyDescent="0.35">
      <c r="B111" s="3">
        <v>45681</v>
      </c>
      <c r="C111" s="4">
        <v>127.09</v>
      </c>
      <c r="D111" s="4">
        <f t="shared" si="2"/>
        <v>-4.7256516431499307E-2</v>
      </c>
      <c r="E111" s="3">
        <v>45681</v>
      </c>
      <c r="F111" s="4">
        <v>414.5</v>
      </c>
      <c r="G111" s="4">
        <f t="shared" si="3"/>
        <v>2.6541519537204294E-4</v>
      </c>
      <c r="H111" s="5"/>
    </row>
    <row r="112" spans="2:8" x14ac:dyDescent="0.35">
      <c r="B112" s="3">
        <v>45684</v>
      </c>
      <c r="C112" s="4">
        <v>128.96</v>
      </c>
      <c r="D112" s="4">
        <f t="shared" si="2"/>
        <v>1.4606781864339169E-2</v>
      </c>
      <c r="E112" s="3">
        <v>45684</v>
      </c>
      <c r="F112" s="4">
        <v>424.87</v>
      </c>
      <c r="G112" s="4">
        <f t="shared" si="3"/>
        <v>2.4710265204577198E-2</v>
      </c>
      <c r="H112" s="5"/>
    </row>
    <row r="113" spans="2:8" x14ac:dyDescent="0.35">
      <c r="B113" s="3">
        <v>45685</v>
      </c>
      <c r="C113" s="4">
        <v>131.05000000000001</v>
      </c>
      <c r="D113" s="4">
        <f t="shared" si="2"/>
        <v>1.6076651011096565E-2</v>
      </c>
      <c r="E113" s="3">
        <v>45685</v>
      </c>
      <c r="F113" s="4">
        <v>418.83</v>
      </c>
      <c r="G113" s="4">
        <f t="shared" si="3"/>
        <v>-1.4318130111260707E-2</v>
      </c>
      <c r="H113" s="5"/>
    </row>
    <row r="114" spans="2:8" x14ac:dyDescent="0.35">
      <c r="B114" s="3">
        <v>45686</v>
      </c>
      <c r="C114" s="4">
        <v>132.58000000000001</v>
      </c>
      <c r="D114" s="4">
        <f t="shared" si="2"/>
        <v>1.1607307043830062E-2</v>
      </c>
      <c r="E114" s="3">
        <v>45686</v>
      </c>
      <c r="F114" s="4">
        <v>413.42</v>
      </c>
      <c r="G114" s="4">
        <f t="shared" si="3"/>
        <v>-1.3001084297576071E-2</v>
      </c>
      <c r="H114" s="5"/>
    </row>
    <row r="115" spans="2:8" x14ac:dyDescent="0.35">
      <c r="B115" s="3">
        <v>45687</v>
      </c>
      <c r="C115" s="4">
        <v>131.79</v>
      </c>
      <c r="D115" s="4">
        <f t="shared" si="2"/>
        <v>-5.9764901574475005E-3</v>
      </c>
      <c r="E115" s="3">
        <v>45687</v>
      </c>
      <c r="F115" s="4">
        <v>414.5</v>
      </c>
      <c r="G115" s="4">
        <f t="shared" si="3"/>
        <v>2.6089492042595808E-3</v>
      </c>
      <c r="H115" s="5"/>
    </row>
    <row r="116" spans="2:8" x14ac:dyDescent="0.35">
      <c r="B116" s="3">
        <v>45688</v>
      </c>
      <c r="C116" s="4">
        <v>131.16999999999999</v>
      </c>
      <c r="D116" s="4">
        <f t="shared" si="2"/>
        <v>-4.715554828743862E-3</v>
      </c>
      <c r="E116" s="3">
        <v>45688</v>
      </c>
      <c r="F116" s="4">
        <v>411.98</v>
      </c>
      <c r="G116" s="4">
        <f t="shared" si="3"/>
        <v>-6.0981700934270577E-3</v>
      </c>
      <c r="H116" s="5"/>
    </row>
    <row r="117" spans="2:8" x14ac:dyDescent="0.35">
      <c r="B117" s="3">
        <v>45691</v>
      </c>
      <c r="C117" s="4">
        <v>129.78</v>
      </c>
      <c r="D117" s="4">
        <f t="shared" si="2"/>
        <v>-1.0653482634031874E-2</v>
      </c>
      <c r="E117" s="3">
        <v>45691</v>
      </c>
      <c r="F117" s="4">
        <v>408.76</v>
      </c>
      <c r="G117" s="4">
        <f t="shared" si="3"/>
        <v>-7.8466177379139523E-3</v>
      </c>
      <c r="H117" s="5"/>
    </row>
    <row r="118" spans="2:8" x14ac:dyDescent="0.35">
      <c r="B118" s="3">
        <v>45692</v>
      </c>
      <c r="C118" s="4">
        <v>130.74</v>
      </c>
      <c r="D118" s="4">
        <f t="shared" si="2"/>
        <v>7.3699089915617577E-3</v>
      </c>
      <c r="E118" s="3">
        <v>45692</v>
      </c>
      <c r="F118" s="4">
        <v>411.49</v>
      </c>
      <c r="G118" s="4">
        <f t="shared" si="3"/>
        <v>6.656531741260352E-3</v>
      </c>
      <c r="H118" s="5"/>
    </row>
    <row r="119" spans="2:8" x14ac:dyDescent="0.35">
      <c r="B119" s="3">
        <v>45693</v>
      </c>
      <c r="C119" s="4">
        <v>129.6</v>
      </c>
      <c r="D119" s="4">
        <f t="shared" si="2"/>
        <v>-8.7578342664098585E-3</v>
      </c>
      <c r="E119" s="3">
        <v>45693</v>
      </c>
      <c r="F119" s="4">
        <v>413.82</v>
      </c>
      <c r="G119" s="4">
        <f t="shared" si="3"/>
        <v>5.6463781859861228E-3</v>
      </c>
      <c r="H119" s="5"/>
    </row>
    <row r="120" spans="2:8" x14ac:dyDescent="0.35">
      <c r="B120" s="3">
        <v>45694</v>
      </c>
      <c r="C120" s="4">
        <v>132.57</v>
      </c>
      <c r="D120" s="4">
        <f t="shared" si="2"/>
        <v>2.2658023892584644E-2</v>
      </c>
      <c r="E120" s="3">
        <v>45694</v>
      </c>
      <c r="F120" s="4">
        <v>414.16</v>
      </c>
      <c r="G120" s="4">
        <f t="shared" si="3"/>
        <v>8.2127592239089608E-4</v>
      </c>
      <c r="H120" s="5"/>
    </row>
    <row r="121" spans="2:8" x14ac:dyDescent="0.35">
      <c r="B121" s="3">
        <v>45695</v>
      </c>
      <c r="C121" s="4">
        <v>134.97999999999999</v>
      </c>
      <c r="D121" s="4">
        <f t="shared" si="2"/>
        <v>1.8015811504501933E-2</v>
      </c>
      <c r="E121" s="3">
        <v>45695</v>
      </c>
      <c r="F121" s="4">
        <v>407.37</v>
      </c>
      <c r="G121" s="4">
        <f t="shared" si="3"/>
        <v>-1.6530509214833344E-2</v>
      </c>
      <c r="H121" s="5"/>
    </row>
    <row r="122" spans="2:8" x14ac:dyDescent="0.35">
      <c r="B122" s="3">
        <v>45698</v>
      </c>
      <c r="C122" s="4">
        <v>135.24</v>
      </c>
      <c r="D122" s="4">
        <f t="shared" si="2"/>
        <v>1.9243585244250738E-3</v>
      </c>
      <c r="E122" s="3">
        <v>45698</v>
      </c>
      <c r="F122" s="4">
        <v>413.99</v>
      </c>
      <c r="G122" s="4">
        <f t="shared" si="3"/>
        <v>1.6119955565402577E-2</v>
      </c>
      <c r="H122" s="5"/>
    </row>
    <row r="123" spans="2:8" x14ac:dyDescent="0.35">
      <c r="B123" s="3">
        <v>45699</v>
      </c>
      <c r="C123" s="4">
        <v>134.52000000000001</v>
      </c>
      <c r="D123" s="4">
        <f t="shared" si="2"/>
        <v>-5.3380909676166155E-3</v>
      </c>
      <c r="E123" s="3">
        <v>45699</v>
      </c>
      <c r="F123" s="4">
        <v>416.36</v>
      </c>
      <c r="G123" s="4">
        <f t="shared" si="3"/>
        <v>5.7084517030521198E-3</v>
      </c>
      <c r="H123" s="5"/>
    </row>
    <row r="124" spans="2:8" x14ac:dyDescent="0.35">
      <c r="B124" s="3">
        <v>45700</v>
      </c>
      <c r="C124" s="4">
        <v>140.52000000000001</v>
      </c>
      <c r="D124" s="4">
        <f t="shared" si="2"/>
        <v>4.3636940525557222E-2</v>
      </c>
      <c r="E124" s="3">
        <v>45700</v>
      </c>
      <c r="F124" s="4">
        <v>407.14</v>
      </c>
      <c r="G124" s="4">
        <f t="shared" si="3"/>
        <v>-2.2393164008366995E-2</v>
      </c>
      <c r="H124" s="5"/>
    </row>
    <row r="125" spans="2:8" x14ac:dyDescent="0.35">
      <c r="B125" s="3">
        <v>45701</v>
      </c>
      <c r="C125" s="4">
        <v>141.04</v>
      </c>
      <c r="D125" s="4">
        <f t="shared" si="2"/>
        <v>3.6937106919889828E-3</v>
      </c>
      <c r="E125" s="3">
        <v>45701</v>
      </c>
      <c r="F125" s="4">
        <v>412.43</v>
      </c>
      <c r="G125" s="4">
        <f t="shared" si="3"/>
        <v>1.2909387765978053E-2</v>
      </c>
      <c r="H125" s="5"/>
    </row>
    <row r="126" spans="2:8" x14ac:dyDescent="0.35">
      <c r="B126" s="3">
        <v>45702</v>
      </c>
      <c r="C126" s="4">
        <v>161.41999999999999</v>
      </c>
      <c r="D126" s="4">
        <f t="shared" si="2"/>
        <v>0.13496612580661083</v>
      </c>
      <c r="E126" s="3">
        <v>45702</v>
      </c>
      <c r="F126" s="4">
        <v>409.5</v>
      </c>
      <c r="G126" s="4">
        <f t="shared" si="3"/>
        <v>-7.1295911117541522E-3</v>
      </c>
      <c r="H126" s="5"/>
    </row>
    <row r="127" spans="2:8" x14ac:dyDescent="0.35">
      <c r="B127" s="3">
        <v>45706</v>
      </c>
      <c r="C127" s="4">
        <v>160.6</v>
      </c>
      <c r="D127" s="4">
        <f t="shared" si="2"/>
        <v>-5.0928623835648779E-3</v>
      </c>
      <c r="E127" s="3">
        <v>45706</v>
      </c>
      <c r="F127" s="4">
        <v>403.31</v>
      </c>
      <c r="G127" s="4">
        <f t="shared" si="3"/>
        <v>-1.523140628356412E-2</v>
      </c>
      <c r="H127" s="5"/>
    </row>
    <row r="128" spans="2:8" x14ac:dyDescent="0.35">
      <c r="B128" s="3">
        <v>45707</v>
      </c>
      <c r="C128" s="4">
        <v>157.97999999999999</v>
      </c>
      <c r="D128" s="4">
        <f t="shared" si="2"/>
        <v>-1.6448358776387728E-2</v>
      </c>
      <c r="E128" s="3">
        <v>45707</v>
      </c>
      <c r="F128" s="4">
        <v>395.43</v>
      </c>
      <c r="G128" s="4">
        <f t="shared" si="3"/>
        <v>-1.9731716617076067E-2</v>
      </c>
      <c r="H128" s="5"/>
    </row>
    <row r="129" spans="2:8" x14ac:dyDescent="0.35">
      <c r="B129" s="3">
        <v>45708</v>
      </c>
      <c r="C129" s="4">
        <v>155.31</v>
      </c>
      <c r="D129" s="4">
        <f t="shared" si="2"/>
        <v>-1.7045323154353476E-2</v>
      </c>
      <c r="E129" s="3">
        <v>45708</v>
      </c>
      <c r="F129" s="4">
        <v>394.64</v>
      </c>
      <c r="G129" s="4">
        <f t="shared" si="3"/>
        <v>-1.9998234670017823E-3</v>
      </c>
      <c r="H129" s="5"/>
    </row>
  </sheetData>
  <mergeCells count="5">
    <mergeCell ref="B2:D2"/>
    <mergeCell ref="E2:G2"/>
    <mergeCell ref="J17:J18"/>
    <mergeCell ref="M3:M4"/>
    <mergeCell ref="N3:N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 1 - 5</vt:lpstr>
      <vt:lpstr>Question 6 &amp; Question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 Suresh</dc:creator>
  <cp:lastModifiedBy>Tab Suresh</cp:lastModifiedBy>
  <dcterms:created xsi:type="dcterms:W3CDTF">2025-03-16T13:14:13Z</dcterms:created>
  <dcterms:modified xsi:type="dcterms:W3CDTF">2025-03-16T23:51:20Z</dcterms:modified>
</cp:coreProperties>
</file>